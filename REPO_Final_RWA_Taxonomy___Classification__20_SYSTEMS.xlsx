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https://d.docs.live.net/7d7c56004afebc49/Desktop/Lavoro/RWA x DePIN/BRAINS26 RWA Taxonomy/"/>
    </mc:Choice>
  </mc:AlternateContent>
  <xr:revisionPtr revIDLastSave="156" documentId="8_{DDB812FC-894D-4288-8B8F-E3C881B45D14}" xr6:coauthVersionLast="47" xr6:coauthVersionMax="47" xr10:uidLastSave="{AD2976A5-BBCA-4993-8BDB-A9C1B83210D7}"/>
  <bookViews>
    <workbookView xWindow="-110" yWindow="-110" windowWidth="19420" windowHeight="11500" xr2:uid="{85E3A5DB-B220-46F5-85B9-7F29E2EC0560}"/>
  </bookViews>
  <sheets>
    <sheet name="Final RWA Taxonomy" sheetId="6" r:id="rId1"/>
    <sheet name="Classification Work" sheetId="5" r:id="rId2"/>
    <sheet name="Sources" sheetId="4" r:id="rId3"/>
    <sheet name="DefiLlama Top 100 RWA " sheetId="7"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B22" i="5" l="1" a="1"/>
  <c r="AB22" i="5" s="1"/>
  <c r="AB23" i="5" a="1"/>
  <c r="AB23" i="5" s="1"/>
  <c r="AB5" i="5" a="1"/>
  <c r="AB5" i="5" s="1"/>
  <c r="AB6" i="5" a="1"/>
  <c r="AB6" i="5" s="1"/>
  <c r="AB7" i="5" a="1"/>
  <c r="AB7" i="5" s="1"/>
  <c r="AB8" i="5" a="1"/>
  <c r="AB8" i="5" s="1"/>
  <c r="AB9" i="5" a="1"/>
  <c r="AB9" i="5" s="1"/>
  <c r="AB10" i="5" a="1"/>
  <c r="AB10" i="5" s="1"/>
  <c r="AB11" i="5" a="1"/>
  <c r="AB11" i="5" s="1"/>
  <c r="AB12" i="5" a="1"/>
  <c r="AB12" i="5" s="1"/>
  <c r="AB13" i="5" a="1"/>
  <c r="AB13" i="5" s="1"/>
  <c r="AB14" i="5" a="1"/>
  <c r="AB14" i="5" s="1"/>
  <c r="AB15" i="5" a="1"/>
  <c r="AB15" i="5" s="1"/>
  <c r="AB16" i="5" a="1"/>
  <c r="AB16" i="5" s="1"/>
  <c r="AB17" i="5" a="1"/>
  <c r="AB17" i="5" s="1"/>
  <c r="AB18" i="5" a="1"/>
  <c r="AB18" i="5" s="1"/>
  <c r="AB19" i="5" a="1"/>
  <c r="AB19" i="5" s="1"/>
  <c r="AB20" i="5" a="1"/>
  <c r="AB20" i="5" s="1"/>
  <c r="AB21" i="5" a="1"/>
  <c r="AB21" i="5" s="1"/>
  <c r="AA22" i="5" a="1"/>
  <c r="AA22" i="5" s="1"/>
  <c r="AA23" i="5" a="1"/>
  <c r="AA23" i="5" s="1"/>
  <c r="AA5" i="5" a="1"/>
  <c r="AA5" i="5" s="1"/>
  <c r="AA6" i="5" a="1"/>
  <c r="AA6" i="5" s="1"/>
  <c r="AA7" i="5" a="1"/>
  <c r="AA7" i="5" s="1"/>
  <c r="AA8" i="5" a="1"/>
  <c r="AA8" i="5" s="1"/>
  <c r="AA9" i="5" a="1"/>
  <c r="AA9" i="5" s="1"/>
  <c r="AA10" i="5" a="1"/>
  <c r="AA10" i="5" s="1"/>
  <c r="AA11" i="5" a="1"/>
  <c r="AA11" i="5" s="1"/>
  <c r="AA12" i="5" a="1"/>
  <c r="AA12" i="5" s="1"/>
  <c r="AA13" i="5" a="1"/>
  <c r="AA13" i="5" s="1"/>
  <c r="AA14" i="5" a="1"/>
  <c r="AA14" i="5" s="1"/>
  <c r="AA15" i="5" a="1"/>
  <c r="AA15" i="5" s="1"/>
  <c r="AA16" i="5" a="1"/>
  <c r="AA16" i="5" s="1"/>
  <c r="AA17" i="5" a="1"/>
  <c r="AA17" i="5" s="1"/>
  <c r="AA18" i="5" a="1"/>
  <c r="AA18" i="5" s="1"/>
  <c r="AA19" i="5" a="1"/>
  <c r="AA19" i="5" s="1"/>
  <c r="AA20" i="5" a="1"/>
  <c r="AA20" i="5" s="1"/>
  <c r="AA21" i="5" a="1"/>
  <c r="AA21" i="5" s="1"/>
  <c r="Z22" i="5" a="1"/>
  <c r="Z22" i="5" s="1"/>
  <c r="Z23" i="5" a="1"/>
  <c r="Z23" i="5" s="1"/>
  <c r="Z5" i="5" a="1"/>
  <c r="Z5" i="5" s="1"/>
  <c r="Z6" i="5" a="1"/>
  <c r="Z6" i="5" s="1"/>
  <c r="Z7" i="5" a="1"/>
  <c r="Z7" i="5" s="1"/>
  <c r="Z8" i="5" a="1"/>
  <c r="Z8" i="5" s="1"/>
  <c r="Z9" i="5" a="1"/>
  <c r="Z9" i="5" s="1"/>
  <c r="Z10" i="5" a="1"/>
  <c r="Z10" i="5" s="1"/>
  <c r="Z11" i="5" a="1"/>
  <c r="Z11" i="5" s="1"/>
  <c r="Z12" i="5" a="1"/>
  <c r="Z12" i="5" s="1"/>
  <c r="Z13" i="5" a="1"/>
  <c r="Z13" i="5" s="1"/>
  <c r="Z14" i="5" a="1"/>
  <c r="Z14" i="5" s="1"/>
  <c r="Z15" i="5" a="1"/>
  <c r="Z15" i="5" s="1"/>
  <c r="Z16" i="5" a="1"/>
  <c r="Z16" i="5" s="1"/>
  <c r="Z17" i="5" a="1"/>
  <c r="Z17" i="5" s="1"/>
  <c r="Z18" i="5" a="1"/>
  <c r="Z18" i="5" s="1"/>
  <c r="Z19" i="5" a="1"/>
  <c r="Z19" i="5" s="1"/>
  <c r="Z20" i="5" a="1"/>
  <c r="Z20" i="5" s="1"/>
  <c r="Z21" i="5" a="1"/>
  <c r="Z21" i="5" s="1"/>
  <c r="Y22" i="5" a="1"/>
  <c r="Y22" i="5" s="1"/>
  <c r="Y23" i="5" a="1"/>
  <c r="Y23" i="5" s="1"/>
  <c r="Y5" i="5" a="1"/>
  <c r="Y5" i="5" s="1"/>
  <c r="Y6" i="5" a="1"/>
  <c r="Y6" i="5" s="1"/>
  <c r="Y7" i="5" a="1"/>
  <c r="Y7" i="5" s="1"/>
  <c r="Y8" i="5" a="1"/>
  <c r="Y8" i="5" s="1"/>
  <c r="Y9" i="5" a="1"/>
  <c r="Y9" i="5" s="1"/>
  <c r="Y10" i="5" a="1"/>
  <c r="Y10" i="5" s="1"/>
  <c r="Y11" i="5" a="1"/>
  <c r="Y11" i="5" s="1"/>
  <c r="Y12" i="5" a="1"/>
  <c r="Y12" i="5" s="1"/>
  <c r="Y13" i="5" a="1"/>
  <c r="Y13" i="5" s="1"/>
  <c r="Y14" i="5" a="1"/>
  <c r="Y14" i="5" s="1"/>
  <c r="Y15" i="5" a="1"/>
  <c r="Y15" i="5" s="1"/>
  <c r="Y16" i="5" a="1"/>
  <c r="Y16" i="5" s="1"/>
  <c r="Y17" i="5" a="1"/>
  <c r="Y17" i="5" s="1"/>
  <c r="Y18" i="5" a="1"/>
  <c r="Y18" i="5" s="1"/>
  <c r="Y19" i="5" a="1"/>
  <c r="Y19" i="5" s="1"/>
  <c r="Y20" i="5" a="1"/>
  <c r="Y20" i="5" s="1"/>
  <c r="Y21" i="5" a="1"/>
  <c r="Y21" i="5" s="1"/>
  <c r="X22" i="5" a="1"/>
  <c r="X22" i="5" s="1"/>
  <c r="X23" i="5" a="1"/>
  <c r="X23" i="5" s="1"/>
  <c r="X5" i="5" a="1"/>
  <c r="X5" i="5" s="1"/>
  <c r="X6" i="5" a="1"/>
  <c r="X6" i="5" s="1"/>
  <c r="X7" i="5" a="1"/>
  <c r="X7" i="5" s="1"/>
  <c r="X8" i="5" a="1"/>
  <c r="X8" i="5" s="1"/>
  <c r="X9" i="5" a="1"/>
  <c r="X9" i="5" s="1"/>
  <c r="X10" i="5" a="1"/>
  <c r="X10" i="5" s="1"/>
  <c r="X11" i="5" a="1"/>
  <c r="X11" i="5" s="1"/>
  <c r="X12" i="5" a="1"/>
  <c r="X12" i="5" s="1"/>
  <c r="X13" i="5" a="1"/>
  <c r="X13" i="5" s="1"/>
  <c r="X14" i="5" a="1"/>
  <c r="X14" i="5" s="1"/>
  <c r="X15" i="5" a="1"/>
  <c r="X15" i="5" s="1"/>
  <c r="X16" i="5" a="1"/>
  <c r="X16" i="5" s="1"/>
  <c r="X17" i="5" a="1"/>
  <c r="X17" i="5" s="1"/>
  <c r="X18" i="5" a="1"/>
  <c r="X18" i="5" s="1"/>
  <c r="X19" i="5" a="1"/>
  <c r="X19" i="5" s="1"/>
  <c r="X20" i="5" a="1"/>
  <c r="X20" i="5" s="1"/>
  <c r="X21" i="5" a="1"/>
  <c r="X21" i="5" s="1"/>
  <c r="W22" i="5" a="1"/>
  <c r="W22" i="5" s="1"/>
  <c r="W23" i="5" a="1"/>
  <c r="W23" i="5" s="1"/>
  <c r="W5" i="5" a="1"/>
  <c r="W5" i="5" s="1"/>
  <c r="W6" i="5" a="1"/>
  <c r="W6" i="5" s="1"/>
  <c r="W7" i="5" a="1"/>
  <c r="W7" i="5" s="1"/>
  <c r="W8" i="5" a="1"/>
  <c r="W8" i="5" s="1"/>
  <c r="W9" i="5" a="1"/>
  <c r="W9" i="5" s="1"/>
  <c r="W10" i="5" a="1"/>
  <c r="W10" i="5" s="1"/>
  <c r="W11" i="5" a="1"/>
  <c r="W11" i="5" s="1"/>
  <c r="W12" i="5" a="1"/>
  <c r="W12" i="5" s="1"/>
  <c r="W13" i="5" a="1"/>
  <c r="W13" i="5" s="1"/>
  <c r="W14" i="5" a="1"/>
  <c r="W14" i="5" s="1"/>
  <c r="W15" i="5" a="1"/>
  <c r="W15" i="5" s="1"/>
  <c r="W16" i="5" a="1"/>
  <c r="W16" i="5" s="1"/>
  <c r="W17" i="5" a="1"/>
  <c r="W17" i="5" s="1"/>
  <c r="W18" i="5" a="1"/>
  <c r="W18" i="5" s="1"/>
  <c r="W19" i="5" a="1"/>
  <c r="W19" i="5" s="1"/>
  <c r="W20" i="5" a="1"/>
  <c r="W20" i="5" s="1"/>
  <c r="W21" i="5" a="1"/>
  <c r="W21" i="5" s="1"/>
  <c r="V22" i="5" a="1"/>
  <c r="V22" i="5" s="1"/>
  <c r="V23" i="5" a="1"/>
  <c r="V23" i="5" s="1"/>
  <c r="V5" i="5" a="1"/>
  <c r="V5" i="5" s="1"/>
  <c r="V6" i="5" a="1"/>
  <c r="V6" i="5" s="1"/>
  <c r="V7" i="5" a="1"/>
  <c r="V7" i="5" s="1"/>
  <c r="V8" i="5" a="1"/>
  <c r="V8" i="5" s="1"/>
  <c r="V9" i="5" a="1"/>
  <c r="V9" i="5" s="1"/>
  <c r="V10" i="5" a="1"/>
  <c r="V10" i="5" s="1"/>
  <c r="V11" i="5" a="1"/>
  <c r="V11" i="5" s="1"/>
  <c r="V12" i="5" a="1"/>
  <c r="V12" i="5" s="1"/>
  <c r="V13" i="5" a="1"/>
  <c r="V13" i="5" s="1"/>
  <c r="V14" i="5" a="1"/>
  <c r="V14" i="5" s="1"/>
  <c r="V15" i="5" a="1"/>
  <c r="V15" i="5" s="1"/>
  <c r="V16" i="5" a="1"/>
  <c r="V16" i="5" s="1"/>
  <c r="V17" i="5" a="1"/>
  <c r="V17" i="5" s="1"/>
  <c r="V18" i="5" a="1"/>
  <c r="V18" i="5" s="1"/>
  <c r="V19" i="5" a="1"/>
  <c r="V19" i="5" s="1"/>
  <c r="V20" i="5" a="1"/>
  <c r="V20" i="5" s="1"/>
  <c r="V21" i="5" a="1"/>
  <c r="V21" i="5" s="1"/>
  <c r="U22" i="5" a="1"/>
  <c r="U22" i="5" s="1"/>
  <c r="U23" i="5" a="1"/>
  <c r="U23" i="5" s="1"/>
  <c r="U5" i="5" a="1"/>
  <c r="U5" i="5" s="1"/>
  <c r="U6" i="5" a="1"/>
  <c r="U6" i="5" s="1"/>
  <c r="U7" i="5" a="1"/>
  <c r="U7" i="5" s="1"/>
  <c r="U8" i="5" a="1"/>
  <c r="U8" i="5" s="1"/>
  <c r="U9" i="5" a="1"/>
  <c r="U9" i="5" s="1"/>
  <c r="U10" i="5" a="1"/>
  <c r="U10" i="5" s="1"/>
  <c r="U11" i="5" a="1"/>
  <c r="U11" i="5" s="1"/>
  <c r="U12" i="5" a="1"/>
  <c r="U12" i="5" s="1"/>
  <c r="U13" i="5" a="1"/>
  <c r="U13" i="5" s="1"/>
  <c r="U14" i="5" a="1"/>
  <c r="U14" i="5" s="1"/>
  <c r="U15" i="5" a="1"/>
  <c r="U15" i="5" s="1"/>
  <c r="U16" i="5" a="1"/>
  <c r="U16" i="5" s="1"/>
  <c r="U17" i="5" a="1"/>
  <c r="U17" i="5" s="1"/>
  <c r="U18" i="5" a="1"/>
  <c r="U18" i="5" s="1"/>
  <c r="U19" i="5" a="1"/>
  <c r="U19" i="5" s="1"/>
  <c r="U20" i="5" a="1"/>
  <c r="U20" i="5" s="1"/>
  <c r="U21" i="5" a="1"/>
  <c r="U21" i="5" s="1"/>
  <c r="T22" i="5" a="1"/>
  <c r="T22" i="5" s="1"/>
  <c r="T23" i="5" a="1"/>
  <c r="T23" i="5" s="1"/>
  <c r="T5" i="5" a="1"/>
  <c r="T5" i="5" s="1"/>
  <c r="T6" i="5" a="1"/>
  <c r="T6" i="5" s="1"/>
  <c r="T7" i="5" a="1"/>
  <c r="T7" i="5" s="1"/>
  <c r="T8" i="5" a="1"/>
  <c r="T8" i="5" s="1"/>
  <c r="T9" i="5" a="1"/>
  <c r="T9" i="5" s="1"/>
  <c r="T10" i="5" a="1"/>
  <c r="T10" i="5" s="1"/>
  <c r="T11" i="5" a="1"/>
  <c r="T11" i="5" s="1"/>
  <c r="T12" i="5" a="1"/>
  <c r="T12" i="5" s="1"/>
  <c r="T13" i="5" a="1"/>
  <c r="T13" i="5" s="1"/>
  <c r="T14" i="5" a="1"/>
  <c r="T14" i="5" s="1"/>
  <c r="T15" i="5" a="1"/>
  <c r="T15" i="5" s="1"/>
  <c r="T16" i="5" a="1"/>
  <c r="T16" i="5" s="1"/>
  <c r="T17" i="5" a="1"/>
  <c r="T17" i="5" s="1"/>
  <c r="T18" i="5" a="1"/>
  <c r="T18" i="5" s="1"/>
  <c r="T19" i="5" a="1"/>
  <c r="T19" i="5" s="1"/>
  <c r="T20" i="5" a="1"/>
  <c r="T20" i="5" s="1"/>
  <c r="T21" i="5" a="1"/>
  <c r="T21" i="5" s="1"/>
  <c r="S22" i="5" a="1"/>
  <c r="S22" i="5" s="1"/>
  <c r="S23" i="5" a="1"/>
  <c r="S23" i="5" s="1"/>
  <c r="S5" i="5" a="1"/>
  <c r="S5" i="5" s="1"/>
  <c r="S6" i="5" a="1"/>
  <c r="S6" i="5" s="1"/>
  <c r="S7" i="5" a="1"/>
  <c r="S7" i="5" s="1"/>
  <c r="S8" i="5" a="1"/>
  <c r="S8" i="5" s="1"/>
  <c r="S9" i="5" a="1"/>
  <c r="S9" i="5" s="1"/>
  <c r="S10" i="5" a="1"/>
  <c r="S10" i="5" s="1"/>
  <c r="S11" i="5" a="1"/>
  <c r="S11" i="5" s="1"/>
  <c r="S12" i="5" a="1"/>
  <c r="S12" i="5" s="1"/>
  <c r="S13" i="5" a="1"/>
  <c r="S13" i="5" s="1"/>
  <c r="S14" i="5" a="1"/>
  <c r="S14" i="5" s="1"/>
  <c r="S15" i="5" a="1"/>
  <c r="S15" i="5" s="1"/>
  <c r="S16" i="5" a="1"/>
  <c r="S16" i="5" s="1"/>
  <c r="S17" i="5" a="1"/>
  <c r="S17" i="5" s="1"/>
  <c r="S18" i="5" a="1"/>
  <c r="S18" i="5" s="1"/>
  <c r="S19" i="5" a="1"/>
  <c r="S19" i="5" s="1"/>
  <c r="S20" i="5" a="1"/>
  <c r="S20" i="5" s="1"/>
  <c r="S21" i="5" a="1"/>
  <c r="S21" i="5" s="1"/>
  <c r="R22" i="5" a="1"/>
  <c r="R22" i="5" s="1"/>
  <c r="R23" i="5" a="1"/>
  <c r="R23" i="5" s="1"/>
  <c r="R5" i="5" a="1"/>
  <c r="R5" i="5" s="1"/>
  <c r="R6" i="5" a="1"/>
  <c r="R6" i="5" s="1"/>
  <c r="R7" i="5" a="1"/>
  <c r="R7" i="5" s="1"/>
  <c r="R8" i="5" a="1"/>
  <c r="R8" i="5" s="1"/>
  <c r="R9" i="5" a="1"/>
  <c r="R9" i="5" s="1"/>
  <c r="R10" i="5" a="1"/>
  <c r="R10" i="5" s="1"/>
  <c r="R11" i="5" a="1"/>
  <c r="R11" i="5" s="1"/>
  <c r="R12" i="5" a="1"/>
  <c r="R12" i="5" s="1"/>
  <c r="R13" i="5" a="1"/>
  <c r="R13" i="5" s="1"/>
  <c r="R14" i="5" a="1"/>
  <c r="R14" i="5" s="1"/>
  <c r="R15" i="5" a="1"/>
  <c r="R15" i="5" s="1"/>
  <c r="R16" i="5" a="1"/>
  <c r="R16" i="5" s="1"/>
  <c r="R17" i="5" a="1"/>
  <c r="R17" i="5" s="1"/>
  <c r="R18" i="5" a="1"/>
  <c r="R18" i="5" s="1"/>
  <c r="R19" i="5" a="1"/>
  <c r="R19" i="5" s="1"/>
  <c r="R20" i="5" a="1"/>
  <c r="R20" i="5" s="1"/>
  <c r="R21" i="5" a="1"/>
  <c r="R21" i="5" s="1"/>
  <c r="Q22" i="5" a="1"/>
  <c r="Q22" i="5" s="1"/>
  <c r="Q23" i="5" a="1"/>
  <c r="Q23" i="5" s="1"/>
  <c r="Q5" i="5" a="1"/>
  <c r="Q5" i="5" s="1"/>
  <c r="Q6" i="5" a="1"/>
  <c r="Q6" i="5" s="1"/>
  <c r="Q7" i="5" a="1"/>
  <c r="Q7" i="5" s="1"/>
  <c r="Q8" i="5" a="1"/>
  <c r="Q8" i="5" s="1"/>
  <c r="Q9" i="5" a="1"/>
  <c r="Q9" i="5" s="1"/>
  <c r="Q10" i="5" a="1"/>
  <c r="Q10" i="5" s="1"/>
  <c r="Q11" i="5" a="1"/>
  <c r="Q11" i="5" s="1"/>
  <c r="Q12" i="5" a="1"/>
  <c r="Q12" i="5" s="1"/>
  <c r="Q13" i="5" a="1"/>
  <c r="Q13" i="5" s="1"/>
  <c r="Q14" i="5" a="1"/>
  <c r="Q14" i="5" s="1"/>
  <c r="Q15" i="5" a="1"/>
  <c r="Q15" i="5" s="1"/>
  <c r="Q16" i="5" a="1"/>
  <c r="Q16" i="5" s="1"/>
  <c r="Q17" i="5" a="1"/>
  <c r="Q17" i="5" s="1"/>
  <c r="Q18" i="5" a="1"/>
  <c r="Q18" i="5" s="1"/>
  <c r="Q19" i="5" a="1"/>
  <c r="Q19" i="5" s="1"/>
  <c r="Q20" i="5" a="1"/>
  <c r="Q20" i="5" s="1"/>
  <c r="Q21" i="5" a="1"/>
  <c r="Q21" i="5" s="1"/>
  <c r="P22" i="5" a="1"/>
  <c r="P22" i="5" s="1"/>
  <c r="P23" i="5" a="1"/>
  <c r="P23" i="5" s="1"/>
  <c r="P5" i="5" a="1"/>
  <c r="P5" i="5" s="1"/>
  <c r="P6" i="5" a="1"/>
  <c r="P6" i="5" s="1"/>
  <c r="P7" i="5" a="1"/>
  <c r="P7" i="5" s="1"/>
  <c r="P8" i="5" a="1"/>
  <c r="P8" i="5" s="1"/>
  <c r="P9" i="5" a="1"/>
  <c r="P9" i="5" s="1"/>
  <c r="P10" i="5" a="1"/>
  <c r="P10" i="5" s="1"/>
  <c r="P11" i="5" a="1"/>
  <c r="P11" i="5" s="1"/>
  <c r="P12" i="5" a="1"/>
  <c r="P12" i="5" s="1"/>
  <c r="P13" i="5" a="1"/>
  <c r="P13" i="5" s="1"/>
  <c r="P14" i="5" a="1"/>
  <c r="P14" i="5" s="1"/>
  <c r="P15" i="5" a="1"/>
  <c r="P15" i="5" s="1"/>
  <c r="P16" i="5" a="1"/>
  <c r="P16" i="5" s="1"/>
  <c r="P17" i="5" a="1"/>
  <c r="P17" i="5" s="1"/>
  <c r="P18" i="5" a="1"/>
  <c r="P18" i="5" s="1"/>
  <c r="P19" i="5" a="1"/>
  <c r="P19" i="5" s="1"/>
  <c r="P20" i="5" a="1"/>
  <c r="P20" i="5" s="1"/>
  <c r="P21" i="5" a="1"/>
  <c r="P21" i="5" s="1"/>
  <c r="O22" i="5" a="1"/>
  <c r="O22" i="5" s="1"/>
  <c r="O23" i="5" a="1"/>
  <c r="O23" i="5" s="1"/>
  <c r="O5" i="5" a="1"/>
  <c r="O5" i="5" s="1"/>
  <c r="O6" i="5" a="1"/>
  <c r="O6" i="5" s="1"/>
  <c r="O7" i="5" a="1"/>
  <c r="O7" i="5" s="1"/>
  <c r="O8" i="5" a="1"/>
  <c r="O8" i="5" s="1"/>
  <c r="O9" i="5" a="1"/>
  <c r="O9" i="5" s="1"/>
  <c r="O10" i="5" a="1"/>
  <c r="O10" i="5" s="1"/>
  <c r="O11" i="5" a="1"/>
  <c r="O11" i="5" s="1"/>
  <c r="O12" i="5" a="1"/>
  <c r="O12" i="5" s="1"/>
  <c r="O13" i="5" a="1"/>
  <c r="O13" i="5" s="1"/>
  <c r="O14" i="5" a="1"/>
  <c r="O14" i="5" s="1"/>
  <c r="O15" i="5" a="1"/>
  <c r="O15" i="5" s="1"/>
  <c r="O16" i="5" a="1"/>
  <c r="O16" i="5" s="1"/>
  <c r="O17" i="5" a="1"/>
  <c r="O17" i="5" s="1"/>
  <c r="O18" i="5" a="1"/>
  <c r="O18" i="5" s="1"/>
  <c r="O19" i="5" a="1"/>
  <c r="O19" i="5" s="1"/>
  <c r="O20" i="5" a="1"/>
  <c r="O20" i="5" s="1"/>
  <c r="O21" i="5" a="1"/>
  <c r="O21" i="5" s="1"/>
  <c r="N22" i="5" a="1"/>
  <c r="N22" i="5" s="1"/>
  <c r="N23" i="5" a="1"/>
  <c r="N23" i="5" s="1"/>
  <c r="N5" i="5" a="1"/>
  <c r="N5" i="5" s="1"/>
  <c r="N6" i="5" a="1"/>
  <c r="N6" i="5" s="1"/>
  <c r="N7" i="5" a="1"/>
  <c r="N7" i="5" s="1"/>
  <c r="N8" i="5" a="1"/>
  <c r="N8" i="5" s="1"/>
  <c r="N9" i="5" a="1"/>
  <c r="N9" i="5" s="1"/>
  <c r="N10" i="5" a="1"/>
  <c r="N10" i="5" s="1"/>
  <c r="N11" i="5" a="1"/>
  <c r="N11" i="5" s="1"/>
  <c r="N12" i="5" a="1"/>
  <c r="N12" i="5" s="1"/>
  <c r="N13" i="5" a="1"/>
  <c r="N13" i="5" s="1"/>
  <c r="N14" i="5" a="1"/>
  <c r="N14" i="5" s="1"/>
  <c r="N15" i="5" a="1"/>
  <c r="N15" i="5" s="1"/>
  <c r="N16" i="5" a="1"/>
  <c r="N16" i="5" s="1"/>
  <c r="N17" i="5" a="1"/>
  <c r="N17" i="5" s="1"/>
  <c r="N18" i="5" a="1"/>
  <c r="N18" i="5" s="1"/>
  <c r="N19" i="5" a="1"/>
  <c r="N19" i="5" s="1"/>
  <c r="N20" i="5" a="1"/>
  <c r="N20" i="5" s="1"/>
  <c r="N21" i="5" a="1"/>
  <c r="N21" i="5" s="1"/>
  <c r="M22" i="5" a="1"/>
  <c r="M22" i="5" s="1"/>
  <c r="M23" i="5" a="1"/>
  <c r="M23" i="5" s="1"/>
  <c r="M5" i="5" a="1"/>
  <c r="M5" i="5" s="1"/>
  <c r="M6" i="5" a="1"/>
  <c r="M6" i="5" s="1"/>
  <c r="M7" i="5" a="1"/>
  <c r="M7" i="5" s="1"/>
  <c r="M8" i="5" a="1"/>
  <c r="M8" i="5" s="1"/>
  <c r="M9" i="5" a="1"/>
  <c r="M9" i="5" s="1"/>
  <c r="M10" i="5" a="1"/>
  <c r="M10" i="5" s="1"/>
  <c r="M11" i="5" a="1"/>
  <c r="M11" i="5" s="1"/>
  <c r="M12" i="5" a="1"/>
  <c r="M12" i="5" s="1"/>
  <c r="M13" i="5" a="1"/>
  <c r="M13" i="5" s="1"/>
  <c r="M14" i="5" a="1"/>
  <c r="M14" i="5" s="1"/>
  <c r="M15" i="5" a="1"/>
  <c r="M15" i="5" s="1"/>
  <c r="M16" i="5" a="1"/>
  <c r="M16" i="5" s="1"/>
  <c r="M17" i="5" a="1"/>
  <c r="M17" i="5" s="1"/>
  <c r="M18" i="5" a="1"/>
  <c r="M18" i="5" s="1"/>
  <c r="M19" i="5" a="1"/>
  <c r="M19" i="5" s="1"/>
  <c r="M20" i="5" a="1"/>
  <c r="M20" i="5" s="1"/>
  <c r="M21" i="5" a="1"/>
  <c r="M21" i="5" s="1"/>
  <c r="L22" i="5" a="1"/>
  <c r="L22" i="5" s="1"/>
  <c r="L23" i="5" a="1"/>
  <c r="L23" i="5" s="1"/>
  <c r="L5" i="5" a="1"/>
  <c r="L5" i="5" s="1"/>
  <c r="L6" i="5" a="1"/>
  <c r="L6" i="5" s="1"/>
  <c r="L7" i="5" a="1"/>
  <c r="L7" i="5" s="1"/>
  <c r="L8" i="5" a="1"/>
  <c r="L8" i="5" s="1"/>
  <c r="L9" i="5" a="1"/>
  <c r="L9" i="5" s="1"/>
  <c r="L10" i="5" a="1"/>
  <c r="L10" i="5" s="1"/>
  <c r="L11" i="5" a="1"/>
  <c r="L11" i="5" s="1"/>
  <c r="L12" i="5" a="1"/>
  <c r="L12" i="5" s="1"/>
  <c r="L13" i="5" a="1"/>
  <c r="L13" i="5" s="1"/>
  <c r="L14" i="5" a="1"/>
  <c r="L14" i="5" s="1"/>
  <c r="L15" i="5" a="1"/>
  <c r="L15" i="5" s="1"/>
  <c r="L16" i="5" a="1"/>
  <c r="L16" i="5" s="1"/>
  <c r="L17" i="5" a="1"/>
  <c r="L17" i="5" s="1"/>
  <c r="L18" i="5" a="1"/>
  <c r="L18" i="5" s="1"/>
  <c r="L19" i="5" a="1"/>
  <c r="L19" i="5" s="1"/>
  <c r="L20" i="5" a="1"/>
  <c r="L20" i="5" s="1"/>
  <c r="L21" i="5" a="1"/>
  <c r="L21" i="5" s="1"/>
  <c r="K22" i="5" a="1"/>
  <c r="K22" i="5" s="1"/>
  <c r="K23" i="5" a="1"/>
  <c r="K23" i="5" s="1"/>
  <c r="K5" i="5" a="1"/>
  <c r="K5" i="5" s="1"/>
  <c r="K6" i="5" a="1"/>
  <c r="K6" i="5" s="1"/>
  <c r="K7" i="5" a="1"/>
  <c r="K7" i="5" s="1"/>
  <c r="K8" i="5" a="1"/>
  <c r="K8" i="5" s="1"/>
  <c r="K9" i="5" a="1"/>
  <c r="K9" i="5" s="1"/>
  <c r="K10" i="5" a="1"/>
  <c r="K10" i="5" s="1"/>
  <c r="K11" i="5" a="1"/>
  <c r="K11" i="5" s="1"/>
  <c r="K12" i="5" a="1"/>
  <c r="K12" i="5" s="1"/>
  <c r="K13" i="5" a="1"/>
  <c r="K13" i="5" s="1"/>
  <c r="K14" i="5" a="1"/>
  <c r="K14" i="5" s="1"/>
  <c r="K15" i="5" a="1"/>
  <c r="K15" i="5" s="1"/>
  <c r="K16" i="5" a="1"/>
  <c r="K16" i="5" s="1"/>
  <c r="K17" i="5" a="1"/>
  <c r="K17" i="5" s="1"/>
  <c r="K18" i="5" a="1"/>
  <c r="K18" i="5" s="1"/>
  <c r="K19" i="5" a="1"/>
  <c r="K19" i="5" s="1"/>
  <c r="K20" i="5" a="1"/>
  <c r="K20" i="5" s="1"/>
  <c r="K21" i="5" a="1"/>
  <c r="K21" i="5" s="1"/>
  <c r="J22" i="5" a="1"/>
  <c r="J22" i="5" s="1"/>
  <c r="J23" i="5" a="1"/>
  <c r="J23" i="5" s="1"/>
  <c r="J5" i="5" a="1"/>
  <c r="J5" i="5" s="1"/>
  <c r="J6" i="5" a="1"/>
  <c r="J6" i="5" s="1"/>
  <c r="J7" i="5" a="1"/>
  <c r="J7" i="5" s="1"/>
  <c r="J8" i="5" a="1"/>
  <c r="J8" i="5" s="1"/>
  <c r="J9" i="5" a="1"/>
  <c r="J9" i="5" s="1"/>
  <c r="J10" i="5" a="1"/>
  <c r="J10" i="5" s="1"/>
  <c r="J11" i="5" a="1"/>
  <c r="J11" i="5" s="1"/>
  <c r="J12" i="5" a="1"/>
  <c r="J12" i="5" s="1"/>
  <c r="J13" i="5" a="1"/>
  <c r="J13" i="5" s="1"/>
  <c r="J14" i="5" a="1"/>
  <c r="J14" i="5" s="1"/>
  <c r="J15" i="5" a="1"/>
  <c r="J15" i="5" s="1"/>
  <c r="J16" i="5" a="1"/>
  <c r="J16" i="5" s="1"/>
  <c r="J17" i="5" a="1"/>
  <c r="J17" i="5" s="1"/>
  <c r="J18" i="5" a="1"/>
  <c r="J18" i="5" s="1"/>
  <c r="J19" i="5" a="1"/>
  <c r="J19" i="5" s="1"/>
  <c r="J20" i="5" a="1"/>
  <c r="J20" i="5" s="1"/>
  <c r="J21" i="5" a="1"/>
  <c r="J21" i="5" s="1"/>
  <c r="I22" i="5" a="1"/>
  <c r="I22" i="5" s="1"/>
  <c r="I23" i="5" a="1"/>
  <c r="I23" i="5" s="1"/>
  <c r="I5" i="5" a="1"/>
  <c r="I5" i="5" s="1"/>
  <c r="I6" i="5" a="1"/>
  <c r="I6" i="5" s="1"/>
  <c r="I7" i="5" a="1"/>
  <c r="I7" i="5" s="1"/>
  <c r="I8" i="5" a="1"/>
  <c r="I8" i="5" s="1"/>
  <c r="I9" i="5" a="1"/>
  <c r="I9" i="5" s="1"/>
  <c r="I10" i="5" a="1"/>
  <c r="I10" i="5" s="1"/>
  <c r="I11" i="5" a="1"/>
  <c r="I11" i="5" s="1"/>
  <c r="I12" i="5" a="1"/>
  <c r="I12" i="5" s="1"/>
  <c r="I13" i="5" a="1"/>
  <c r="I13" i="5" s="1"/>
  <c r="I14" i="5" a="1"/>
  <c r="I14" i="5" s="1"/>
  <c r="I15" i="5" a="1"/>
  <c r="I15" i="5" s="1"/>
  <c r="I16" i="5" a="1"/>
  <c r="I16" i="5" s="1"/>
  <c r="I17" i="5" a="1"/>
  <c r="I17" i="5" s="1"/>
  <c r="I18" i="5" a="1"/>
  <c r="I18" i="5" s="1"/>
  <c r="I19" i="5" a="1"/>
  <c r="I19" i="5" s="1"/>
  <c r="I20" i="5" a="1"/>
  <c r="I20" i="5" s="1"/>
  <c r="I21" i="5" a="1"/>
  <c r="I21" i="5" s="1"/>
  <c r="H22" i="5" a="1"/>
  <c r="H22" i="5" s="1"/>
  <c r="H23" i="5" a="1"/>
  <c r="H23" i="5" s="1"/>
  <c r="H5" i="5" a="1"/>
  <c r="H5" i="5" s="1"/>
  <c r="H6" i="5" a="1"/>
  <c r="H6" i="5" s="1"/>
  <c r="H7" i="5" a="1"/>
  <c r="H7" i="5" s="1"/>
  <c r="H8" i="5" a="1"/>
  <c r="H8" i="5" s="1"/>
  <c r="H9" i="5" a="1"/>
  <c r="H9" i="5" s="1"/>
  <c r="H10" i="5" a="1"/>
  <c r="H10" i="5" s="1"/>
  <c r="H11" i="5" a="1"/>
  <c r="H11" i="5" s="1"/>
  <c r="H12" i="5" a="1"/>
  <c r="H12" i="5" s="1"/>
  <c r="H13" i="5" a="1"/>
  <c r="H13" i="5" s="1"/>
  <c r="H14" i="5" a="1"/>
  <c r="H14" i="5" s="1"/>
  <c r="H15" i="5" a="1"/>
  <c r="H15" i="5" s="1"/>
  <c r="H16" i="5" a="1"/>
  <c r="H16" i="5" s="1"/>
  <c r="H17" i="5" a="1"/>
  <c r="H17" i="5" s="1"/>
  <c r="H18" i="5" a="1"/>
  <c r="H18" i="5" s="1"/>
  <c r="H19" i="5" a="1"/>
  <c r="H19" i="5" s="1"/>
  <c r="H20" i="5" a="1"/>
  <c r="H20" i="5" s="1"/>
  <c r="H21" i="5" a="1"/>
  <c r="H21" i="5" s="1"/>
  <c r="G22" i="5" a="1"/>
  <c r="G22" i="5" s="1"/>
  <c r="G23" i="5" a="1"/>
  <c r="G23" i="5" s="1"/>
  <c r="G5" i="5" a="1"/>
  <c r="G5" i="5" s="1"/>
  <c r="G6" i="5" a="1"/>
  <c r="G6" i="5" s="1"/>
  <c r="G7" i="5" a="1"/>
  <c r="G7" i="5" s="1"/>
  <c r="G8" i="5" a="1"/>
  <c r="G8" i="5" s="1"/>
  <c r="G9" i="5" a="1"/>
  <c r="G9" i="5" s="1"/>
  <c r="G10" i="5" a="1"/>
  <c r="G10" i="5" s="1"/>
  <c r="G11" i="5" a="1"/>
  <c r="G11" i="5" s="1"/>
  <c r="G12" i="5" a="1"/>
  <c r="G12" i="5" s="1"/>
  <c r="G13" i="5" a="1"/>
  <c r="G13" i="5" s="1"/>
  <c r="G14" i="5" a="1"/>
  <c r="G14" i="5" s="1"/>
  <c r="G15" i="5" a="1"/>
  <c r="G15" i="5" s="1"/>
  <c r="G16" i="5" a="1"/>
  <c r="G16" i="5" s="1"/>
  <c r="G17" i="5" a="1"/>
  <c r="G17" i="5" s="1"/>
  <c r="G18" i="5" a="1"/>
  <c r="G18" i="5" s="1"/>
  <c r="G19" i="5" a="1"/>
  <c r="G19" i="5" s="1"/>
  <c r="G20" i="5" a="1"/>
  <c r="G20" i="5" s="1"/>
  <c r="G21" i="5" a="1"/>
  <c r="G21" i="5" s="1"/>
  <c r="AB4" i="5" a="1"/>
  <c r="AB4" i="5" s="1"/>
  <c r="AA4" i="5" a="1"/>
  <c r="AA4" i="5" s="1"/>
  <c r="Z4" i="5" a="1"/>
  <c r="Z4" i="5" s="1"/>
  <c r="Y4" i="5" a="1"/>
  <c r="Y4" i="5" s="1"/>
  <c r="X4" i="5" a="1"/>
  <c r="X4" i="5" s="1"/>
  <c r="W4" i="5" a="1"/>
  <c r="W4" i="5" s="1"/>
  <c r="V4" i="5" a="1"/>
  <c r="V4" i="5" s="1"/>
  <c r="U4" i="5" a="1"/>
  <c r="U4" i="5" s="1"/>
  <c r="T4" i="5" a="1"/>
  <c r="T4" i="5" s="1"/>
  <c r="S4" i="5" a="1"/>
  <c r="S4" i="5" s="1"/>
  <c r="R4" i="5" a="1"/>
  <c r="R4" i="5" s="1"/>
  <c r="Q4" i="5" a="1"/>
  <c r="Q4" i="5" s="1"/>
  <c r="P4" i="5" a="1"/>
  <c r="P4" i="5" s="1"/>
  <c r="O4" i="5" a="1"/>
  <c r="O4" i="5" s="1"/>
  <c r="N4" i="5" a="1"/>
  <c r="N4" i="5" s="1"/>
  <c r="M4" i="5" a="1"/>
  <c r="M4" i="5" s="1"/>
  <c r="L4" i="5" a="1"/>
  <c r="L4" i="5" s="1"/>
  <c r="K4" i="5" a="1"/>
  <c r="K4" i="5" s="1"/>
  <c r="J4" i="5" a="1"/>
  <c r="J4" i="5" s="1"/>
  <c r="I4" i="5" a="1"/>
  <c r="I4" i="5" s="1"/>
  <c r="H4" i="5" a="1"/>
  <c r="H4" i="5" s="1"/>
  <c r="G4" i="5" a="1"/>
  <c r="G4" i="5" s="1"/>
  <c r="F22" i="5" a="1"/>
  <c r="F22" i="5" s="1"/>
  <c r="F23" i="5" a="1"/>
  <c r="F23" i="5" s="1"/>
  <c r="F5" i="5" a="1"/>
  <c r="F5" i="5" s="1"/>
  <c r="F6" i="5" a="1"/>
  <c r="F6" i="5" s="1"/>
  <c r="F7" i="5" a="1"/>
  <c r="F7" i="5" s="1"/>
  <c r="F8" i="5" a="1"/>
  <c r="F8" i="5" s="1"/>
  <c r="F9" i="5" a="1"/>
  <c r="F9" i="5" s="1"/>
  <c r="F10" i="5" a="1"/>
  <c r="F10" i="5" s="1"/>
  <c r="F11" i="5" a="1"/>
  <c r="F11" i="5" s="1"/>
  <c r="F12" i="5" a="1"/>
  <c r="F12" i="5" s="1"/>
  <c r="F13" i="5" a="1"/>
  <c r="F13" i="5" s="1"/>
  <c r="F14" i="5" a="1"/>
  <c r="F14" i="5" s="1"/>
  <c r="F15" i="5" a="1"/>
  <c r="F15" i="5" s="1"/>
  <c r="F16" i="5" a="1"/>
  <c r="F16" i="5" s="1"/>
  <c r="F17" i="5" a="1"/>
  <c r="F17" i="5" s="1"/>
  <c r="F18" i="5" a="1"/>
  <c r="F18" i="5" s="1"/>
  <c r="F19" i="5" a="1"/>
  <c r="F19" i="5" s="1"/>
  <c r="F20" i="5" a="1"/>
  <c r="F20" i="5" s="1"/>
  <c r="F21" i="5" a="1"/>
  <c r="F21" i="5" s="1"/>
  <c r="F4" i="5" a="1"/>
  <c r="F4" i="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<sst xmlns="http://schemas.openxmlformats.org/spreadsheetml/2006/main" count="5973" uniqueCount="1676">
  <si>
    <t>ID</t>
  </si>
  <si>
    <t>System</t>
  </si>
  <si>
    <t>Component</t>
  </si>
  <si>
    <t>Attribute</t>
  </si>
  <si>
    <t>Characteristic/ Value</t>
  </si>
  <si>
    <t>Reason</t>
  </si>
  <si>
    <t>Date of classification / access of docs (YYYY-MM-DD)</t>
  </si>
  <si>
    <t>Source Type (Official, on chain data, third party, regulatory finding ...)</t>
  </si>
  <si>
    <t>Confidence level</t>
  </si>
  <si>
    <t>text/info from link</t>
  </si>
  <si>
    <t>links:</t>
  </si>
  <si>
    <t>US Yield Coin (UYSC)</t>
  </si>
  <si>
    <t>Governance</t>
  </si>
  <si>
    <t>Incorporation Jurisdiction</t>
  </si>
  <si>
    <t>Bermuda</t>
  </si>
  <si>
    <t>Official docs identify the issuer as Circle International Bermuda Limited and regulated by BMA.</t>
  </si>
  <si>
    <t>Official</t>
  </si>
  <si>
    <t>High</t>
  </si>
  <si>
    <t>issued by Circle International Bermuda Limited, regulated by Bermuda Monetary Authority</t>
  </si>
  <si>
    <t>https://usyc.docs.hashnote.com/</t>
  </si>
  <si>
    <t>Legal Entity (Wrapper)</t>
  </si>
  <si>
    <t>Direct Issuer: Ltd.</t>
  </si>
  <si>
    <t>Official docs identify Circle International Bermuda Limited as issuer.</t>
  </si>
  <si>
    <t>USYC is issued by Circle International Bermuda Limited</t>
  </si>
  <si>
    <t>https://usyc.docs.hashnote.com/overview/product-structuring</t>
  </si>
  <si>
    <t>Voting</t>
  </si>
  <si>
    <t>UNKNOWN</t>
  </si>
  <si>
    <t>No explicit tokenholder voting system was found in reviewed official USYC docs.</t>
  </si>
  <si>
    <t>Low</t>
  </si>
  <si>
    <t>No explicit voting-system statement located in reviewed official documentation.</t>
  </si>
  <si>
    <t>Asset</t>
  </si>
  <si>
    <t>Custody Arrangement</t>
  </si>
  <si>
    <t>Institutional custodian (regulated)</t>
  </si>
  <si>
    <t>Assets are held through segregated custodial accounts at the prime broker; official docs also list regulated issuer/fund context.</t>
  </si>
  <si>
    <t>Medium</t>
  </si>
  <si>
    <t>Assets are protected through segregated custodial accounts at our prime broker</t>
  </si>
  <si>
    <t>Ownership Structure</t>
  </si>
  <si>
    <t>Beneficial ownership (custodian holds legal title on behalf of user)</t>
  </si>
  <si>
    <t>Token holders are represented in the SDYF share registry while assets are held through the fund structure.</t>
  </si>
  <si>
    <t>Ownership in SDYF is represented as shares at the Transfer Agent</t>
  </si>
  <si>
    <t>Dispute Forum</t>
  </si>
  <si>
    <t>No explicit governing-law or dispute-forum clause was found in reviewed official USYC docs.</t>
  </si>
  <si>
    <t>No explicit dispute-forum statement located in reviewed official documentation.</t>
  </si>
  <si>
    <t>Claim Type</t>
  </si>
  <si>
    <t>Pro-rata claim on asset (share of pooled underlying)</t>
  </si>
  <si>
    <t>Tokens represent shares in the pooled SDYF fund.</t>
  </si>
  <si>
    <t>Tokens represent shares in the fund</t>
  </si>
  <si>
    <t>Entitlements</t>
  </si>
  <si>
    <t>Redemption right; Interest entitlement</t>
  </si>
  <si>
    <t>Docs disclose redemption into USDC and short-term Fed-rate returns.</t>
  </si>
  <si>
    <t>redeem USYC into USDC; USYC earns short-term Fed rate returns</t>
  </si>
  <si>
    <t>https://usyc.docs.hashnote.com/overview/subscription-and-redemption and https://usyc.docs.hashnote.com/</t>
  </si>
  <si>
    <t>Asset Type</t>
  </si>
  <si>
    <t>Fixed income (government/corporate bonds)</t>
  </si>
  <si>
    <t>Underlying assets are short-term U.S. Treasury bills and repo/reverse-repo activity.</t>
  </si>
  <si>
    <t>invests in short-term US Treasury Bills and performs repo / reverse-repo activity</t>
  </si>
  <si>
    <t>Third-Party Audit</t>
  </si>
  <si>
    <t>Yes; frequency UNKNOWN; https://usyc.docs.hashnote.com/overview/service-providers</t>
  </si>
  <si>
    <t>Official service-provider page lists Cohen and Company as auditor, but no audit frequency is stated there.</t>
  </si>
  <si>
    <t>Auditor | Cohen and Company</t>
  </si>
  <si>
    <t>https://usyc.docs.hashnote.com/overview/service-providers</t>
  </si>
  <si>
    <t>On-Chain Proof</t>
  </si>
  <si>
    <t>Smart contract oracle feed</t>
  </si>
  <si>
    <t>Official docs state assets/token prices are published through an oracle feed.</t>
  </si>
  <si>
    <t>Assets and token prices are regularly published via an Oracle feed</t>
  </si>
  <si>
    <t>Token Properties</t>
  </si>
  <si>
    <t>Divisibility</t>
  </si>
  <si>
    <t>Fractionalized</t>
  </si>
  <si>
    <t>On-chain token page reports six decimals.</t>
  </si>
  <si>
    <t>On chain data</t>
  </si>
  <si>
    <t>Token Contract (WITH 6 Decimals)</t>
  </si>
  <si>
    <t>https://etherscan.io/token/0x136471a34f6ef19fE571EFFC1CA711fdb8E49f2b</t>
  </si>
  <si>
    <t>Settlement Form(s)</t>
  </si>
  <si>
    <t>In-kind (other token)</t>
  </si>
  <si>
    <t>Redemption settles into USDC, another token.</t>
  </si>
  <si>
    <t>redeem USYC into USDC</t>
  </si>
  <si>
    <t>https://usyc.docs.hashnote.com/overview/subscription-and-redemption</t>
  </si>
  <si>
    <t>Burn</t>
  </si>
  <si>
    <t>Yes</t>
  </si>
  <si>
    <t>Redemption workflow burns USYC.</t>
  </si>
  <si>
    <t>burn your USYC and receive USDC</t>
  </si>
  <si>
    <t>Transferability</t>
  </si>
  <si>
    <t>Whitelist-restricted</t>
  </si>
  <si>
    <t>Holding and transfers require allowlist/permissioned-wallet roles.</t>
  </si>
  <si>
    <t>wallet address is added to the Allowlist</t>
  </si>
  <si>
    <t>DLT</t>
  </si>
  <si>
    <t>Chain Deployment</t>
  </si>
  <si>
    <t>Ethereum; BSC; Solana</t>
  </si>
  <si>
    <t>Official smart-contract page lists mainnet deployments on Ethereum, BSC, and Solana.</t>
  </si>
  <si>
    <t>Ethereum | USYC ERC20 Token; BSC | USYC BEP20 Token; Solana | USYC SPL22 Token</t>
  </si>
  <si>
    <t>https://usyc.docs.hashnote.com/overview/smart-contracts</t>
  </si>
  <si>
    <t>Source of Yield</t>
  </si>
  <si>
    <t>Interest income</t>
  </si>
  <si>
    <t>Yield comes from Treasury bills and repo/reverse-repo activity.</t>
  </si>
  <si>
    <t>USYC earns short-term Fed rate returns</t>
  </si>
  <si>
    <t>Yield Distribution Method</t>
  </si>
  <si>
    <t>Accrual</t>
  </si>
  <si>
    <t>Yield is reflected through NAV/token price rather than token-count increases.</t>
  </si>
  <si>
    <t>price is calculated based on the Net Asset Value (NAV)</t>
  </si>
  <si>
    <t>https://usyc.docs.hashnote.com/overview/token-price</t>
  </si>
  <si>
    <t>Supply</t>
  </si>
  <si>
    <t>No explicit capped or uncapped supply statement was found in reviewed official USYC docs.</t>
  </si>
  <si>
    <t>No explicit token supply cap statement located in reviewed official documentation.</t>
  </si>
  <si>
    <t>DeFi Integrations</t>
  </si>
  <si>
    <t>Collateral</t>
  </si>
  <si>
    <t>Official docs mention composability but do not verify a specific taxonomy-aligned DeFi integration.</t>
  </si>
  <si>
    <t>yield-bearing cross-margin collateral option. Available to all Deribit users starting October 8, 2024</t>
  </si>
  <si>
    <t>https://insights.deribit.com/exchange-updates/deribit-introduces-hashnotes-usyc-as-new-yield-bearing-cross-margin-collateral-option/</t>
  </si>
  <si>
    <t>Smart Contract</t>
  </si>
  <si>
    <t>Minting/subscription; redemption/burn; transfer permissioning; oracle price reporting</t>
  </si>
  <si>
    <t>Core subscription, redemption, permissioning, and oracle functions are implemented by smart contracts.</t>
  </si>
  <si>
    <t>USYC Token; Teller; Oracle; Entitlements</t>
  </si>
  <si>
    <t>Economy</t>
  </si>
  <si>
    <t>Protocol fees</t>
  </si>
  <si>
    <t>Minting Fee; Redemption Fee; Yield Spread</t>
  </si>
  <si>
    <t>Official fee schedule lists subscription, redemption, and performance fees.</t>
  </si>
  <si>
    <t>Performance Fee; Subscription Fee; Redemption Fee</t>
  </si>
  <si>
    <t>https://usyc.docs.hashnote.com/overview/fees</t>
  </si>
  <si>
    <t>Primary Market Access</t>
  </si>
  <si>
    <t>Institutional only; KYC gated; Whitelisted only</t>
  </si>
  <si>
    <t>Primary access is limited to institutions outside the U.S. after onboarding, KYC/AML, and wallet whitelisting.</t>
  </si>
  <si>
    <t>only accessible to institutions outside the United States</t>
  </si>
  <si>
    <t>https://usyc.docs.hashnote.com/overview/investor-onboarding</t>
  </si>
  <si>
    <t>Superstate USTB</t>
  </si>
  <si>
    <t>USA</t>
  </si>
  <si>
    <t>Official docs identify the Fund as a series of a Delaware statutory trust; Superstate's product page lists United States domicile.</t>
  </si>
  <si>
    <t>The Fund is organized as a series of Superstate Asset Trust, a Delaware statutory trust; Domicile | United States</t>
  </si>
  <si>
    <t>https://docs.superstate.com/superstate-funds/ustb/legal-structure</t>
  </si>
  <si>
    <t>Bankruptcy remote vehicle: Trust</t>
  </si>
  <si>
    <t>Official legal structure describes a Delaware Statutory Trust and states the Fund is bankruptcy remote from Superstate Advisers LLC.</t>
  </si>
  <si>
    <t>The Delaware Statutory Trust structure means the shareholder's investment in the Fund is in a separate legal entity which is bankruptcy remote</t>
  </si>
  <si>
    <t>No explicit tokenholder voting system was found in reviewed official USTB docs.</t>
  </si>
  <si>
    <t>Official Superstate product page lists The Bank of New York Mellon as custodian.</t>
  </si>
  <si>
    <t>Custodian | The Bank of New York Mellon</t>
  </si>
  <si>
    <t>https://superstate.com/assets/ustb</t>
  </si>
  <si>
    <t>SPV held</t>
  </si>
  <si>
    <t>Official docs state the shareholder's investment is in the Fund as a separate legal entity and that ownership in the Fund is represented by USTB.</t>
  </si>
  <si>
    <t>shareholder's investment in the Fund is in a separate legal entity; Ownership in the Fund is represented by USTB</t>
  </si>
  <si>
    <t>2026-05-12</t>
  </si>
  <si>
    <t>Official documentation</t>
  </si>
  <si>
    <t>The Fund is organized as a series of Superstate Asset Trust, a Delaware statutory trust.</t>
  </si>
  <si>
    <t>USTB represents ownership in shares of a pooled fund holding short-duration U.S. government securities.</t>
  </si>
  <si>
    <t>Ownership in the Fund is represented by USTB, held either as a token or in book-entry record keeping.</t>
  </si>
  <si>
    <t>Docs state holders can redeem holdings and that interest income is reflected in NAV.</t>
  </si>
  <si>
    <t>you can redeem the full amount of your holdings at any time; Interest income from these securities is recognized each market day</t>
  </si>
  <si>
    <t>https://docs.superstate.com/superstate-funds/ustb/redeeming-ustb</t>
  </si>
  <si>
    <t>Official docs state the Fund invests in short-duration U.S. Treasury Bills and U.S. Government Securities.</t>
  </si>
  <si>
    <t>invests exclusively in short-duration U.S. Government Securities, including investments in U.S. Treasury Bills</t>
  </si>
  <si>
    <t>https://docs.superstate.com/superstate-funds/ustb/income-fees-and-yield</t>
  </si>
  <si>
    <t>Yes; annual; https://superstate.com/assets/ustb</t>
  </si>
  <si>
    <t>Official product page lists Ernst &amp; Young LLP as auditor and legal docs state audited financial statements are provided after year end.</t>
  </si>
  <si>
    <t>Auditor | Ernst &amp; Young LLP; After the end of a calendar year, audited financial statements and K-1s will be provided</t>
  </si>
  <si>
    <t>Official smart-contract docs disclose continuous and Chainlink oracle feeds for NAV/S pricing.</t>
  </si>
  <si>
    <t>Chainlink puts the USTB/USCC Net Asset Value per Share price onchain once per day</t>
  </si>
  <si>
    <t>https://docs.superstate.com/welcome-to-superstate/smart-contracts</t>
  </si>
  <si>
    <t>Official product data shows fractional USTB share amounts and docs record NAV/S to six decimals.</t>
  </si>
  <si>
    <t>77,322,742.01 USTB; The NAV/S of USTB is recorded with 6 decimal places of accuracy</t>
  </si>
  <si>
    <t>Combination</t>
  </si>
  <si>
    <t>Redemption proceeds may be delivered as U.S. dollars or USDC.</t>
  </si>
  <si>
    <t>Proceeds from a redemption may be delivered as U.S. Dollars or USDC on select networks</t>
  </si>
  <si>
    <t>On-chain redemption burns USTB from the investor wallet in exchange for USDC.</t>
  </si>
  <si>
    <t>Investors can call the redeem function on the contract to burn USTB from the investor's wallet and receive USDC</t>
  </si>
  <si>
    <t>Official docs state transfers are allowed only between allowlisted addresses.</t>
  </si>
  <si>
    <t>USTB is freely transferable between wallet addresses on the Allowlist</t>
  </si>
  <si>
    <t>https://docs.superstate.com/superstate-funds/ustb</t>
  </si>
  <si>
    <t>Ethereum; Solana; Plume</t>
  </si>
  <si>
    <t>Official docs and product page list USTB on Ethereum, Solana, and Plume.</t>
  </si>
  <si>
    <t>Shares of the Fund are issued as USTB tokens on Ethereum, Solana, and Plume</t>
  </si>
  <si>
    <t>Official docs state interest income comes from short-duration U.S. Government Securities.</t>
  </si>
  <si>
    <t>Interest income from these securities is recognized each market day and is reflected in the Fund's NAV</t>
  </si>
  <si>
    <t>Yield is reflected in NAV/S rather than paid as a separate distribution in reviewed docs.</t>
  </si>
  <si>
    <t>Uncapped</t>
  </si>
  <si>
    <t>Official smart-contract docs state there are no limits for subscriptions.</t>
  </si>
  <si>
    <t>There are no limits for subscriptions.</t>
  </si>
  <si>
    <t>Other (Aave borrowing and lending)</t>
  </si>
  <si>
    <t>Official product page identifies Aave as a DeFi integration with borrowing and lending usage.</t>
  </si>
  <si>
    <t>Tokenized shares are supported in the following DeFi protocols | Aave | Borrowing and lending</t>
  </si>
  <si>
    <t>Minting/subscription; redemption/burn; transfer permissioning; bridging; oracle price reporting</t>
  </si>
  <si>
    <t>Official smart-contract docs describe minting, redemption/burn, allowlist permissioning, bridging, and oracle pricing.</t>
  </si>
  <si>
    <t>Mint; Redeem; Transfers; Bridging; Superstate USTB Continuous Price Oracle</t>
  </si>
  <si>
    <t>Custody Fee</t>
  </si>
  <si>
    <t>management fee; official docs explicitly list custodial fees among fund expenses reflected in NAV.</t>
  </si>
  <si>
    <t>including custodial, administrative, and audit fees, and pays up to 15bps management fee</t>
  </si>
  <si>
    <t>Qualified investors only; KYC gated; Whitelisted only</t>
  </si>
  <si>
    <t>Superstate Funds are limited to Qualified Purchasers after eligibility review, accreditation/AML checks, investment agreement, and allowlist setup.</t>
  </si>
  <si>
    <t>Only available to Qualified Purchasers; compliance checks, anti-money laundering (AML) screening, and accreditation status; Allowlist</t>
  </si>
  <si>
    <t>https://docs.superstate.com/welcome-to-superstate/onboarding</t>
  </si>
  <si>
    <t>WisdomTree Treasury Money Market Digital Fund (WTGXX)</t>
  </si>
  <si>
    <t>The Trust is a Delaware statutory trust registered under the U.S. 1940 Act.</t>
  </si>
  <si>
    <t>Regulatory filing</t>
  </si>
  <si>
    <t>The Trust was established as a Delaware statutory trust</t>
  </si>
  <si>
    <t>https://www.sec.gov/Archives/edgar/data/1859001/000121465924016339/ck0001859001-20240630a1v3.htm</t>
  </si>
  <si>
    <t>WTGXX is a series of WisdomTree Digital Trust, a Delaware statutory trust.</t>
  </si>
  <si>
    <t>Yes (shareholder voting; one vote per share when required)</t>
  </si>
  <si>
    <t>SAI states each share has one vote on matters requiring shareholder vote.</t>
  </si>
  <si>
    <t>Each share has one vote with respect to matters upon which a shareholder vote is required</t>
  </si>
  <si>
    <t>https://www.sec.gov/Archives/edgar/data/1859001/000121465925012990/wtd4485apospea8.htm</t>
  </si>
  <si>
    <t>BNY Mellon is named administrator and custodian for the Funds.</t>
  </si>
  <si>
    <t>The Bank of New York Mellon serves as administrator and custodian for the Funds</t>
  </si>
  <si>
    <t>Fund assets are held by the Trust/Fund structure; shares have pro-rata interests in Fund assets.</t>
  </si>
  <si>
    <t>Each share of a Fund has a pro rata interest in the assets of the Fund</t>
  </si>
  <si>
    <t>AAA Arbitration; New York, New York</t>
  </si>
  <si>
    <t>WisdomTree Connect terms specify confidential binding arbitration in New York administered by AAA.</t>
  </si>
  <si>
    <t>binding arbitration administered by the American Arbitration Association</t>
  </si>
  <si>
    <t>https://app.wisdomtreeconnect.com/web/order/terms-and-conditions</t>
  </si>
  <si>
    <t>SAI states each share has pro-rata interest in Fund assets.</t>
  </si>
  <si>
    <t>Redemption right; Income distribution right; Governance/voting</t>
  </si>
  <si>
    <t>Docs disclose subscription/redemption, monthly distributions, and one vote per share when required.</t>
  </si>
  <si>
    <t>Official and regulatory filing</t>
  </si>
  <si>
    <t>Income accrues daily and is paid monthly; Each share has one vote</t>
  </si>
  <si>
    <t>https://dataspanapi.wisdomtree.com/pdr/documents/WEBSITE_FUND_DETAILS/WDT/US/EN-US/WTGXX_3/</t>
  </si>
  <si>
    <t>Fact sheet top holdings are Treasury bills, Treasury FRN, and tri-party repo.</t>
  </si>
  <si>
    <t>Top Holdings: TREASURY BILL; US TREASURY FRN; TRI-PARTY</t>
  </si>
  <si>
    <t>https://www.wisdomtree.com/-/media/us-media-files/documents/resource-library/fund-fact-sheets/digital/wtgxx.pdf</t>
  </si>
  <si>
    <t>Yes; annual; https://www.wisdomtreeconnect.com/prospectus-regulatory-reports</t>
  </si>
  <si>
    <t>FAQ says audited financials are available with fund reports.</t>
  </si>
  <si>
    <t>Investors can find: Monthly portfolio holdings; Audited financials; Form N-CSR and N-CEN filings</t>
  </si>
  <si>
    <t>Official docs identify token contracts but no explicit on-chain proof-of-reserves mechanism was found.</t>
  </si>
  <si>
    <t>No explicit on-chain proof-of-reserves statement located in reviewed documentation.</t>
  </si>
  <si>
    <t>Etherscan</t>
  </si>
  <si>
    <t>https://etherscan.io/token/0x1fecf3d9d4fee7f2c02917a66028a48c6706c179</t>
  </si>
  <si>
    <t>Institutions can subscribe or redeem using fiat or stablecoins via the conversion service.</t>
  </si>
  <si>
    <t>USD via wires and USDC, PYUSD ... are both supported</t>
  </si>
  <si>
    <t>https://www.wisdomtreeconnect.com/</t>
  </si>
  <si>
    <t>Peer-to-peer movement is limited to approved/whitelisted wallets.</t>
  </si>
  <si>
    <t>peer-to-peer movement of fund shares between approved addresses</t>
  </si>
  <si>
    <t>Ethereum; Stellar; Avalanche; Arbitrum; Base; Optimism; Plume</t>
  </si>
  <si>
    <t>FAQ lists WTGXX native supported blockchains.</t>
  </si>
  <si>
    <t>WTGXX operates natively on: Ethereum, Stellar, Avalanche, Arbitrum, Base, Optimism, and Plume</t>
  </si>
  <si>
    <t>Fund objective is high current income and yield metrics represent Fund income.</t>
  </si>
  <si>
    <t>provide investors with a high level of current income</t>
  </si>
  <si>
    <t>Distribution</t>
  </si>
  <si>
    <t>FAQ states daily income accrual is paid monthly according to dividend preference.</t>
  </si>
  <si>
    <t>Income accrues daily and is paid monthly</t>
  </si>
  <si>
    <t>Uncapped; says "open end treasury market money fund"</t>
  </si>
  <si>
    <t>FAQ describes exploring Web3/DeFi partnerships, but no current protocol integration was explicitly verified.</t>
  </si>
  <si>
    <t>We are exploring partnerships to increase the adoption of WTGXX in Web3 use cases</t>
  </si>
  <si>
    <t>Token issuance/recordkeeping; transfer permissioning; peer-to-peer transfer; wallet permissioning; stablecoin conversion settlement</t>
  </si>
  <si>
    <t>Official materials describe token contracts, registered wallets, peer transfers, and stablecoin conversion settlement.</t>
  </si>
  <si>
    <t>official smart contracts that define, create, and enforce the rules for the Fund's token</t>
  </si>
  <si>
    <t>Expense Ratio and Gas fees</t>
  </si>
  <si>
    <t>Expense Ratio</t>
  </si>
  <si>
    <t>Expense Ratio: 0.25%; Gas Fees; Burn Fees: None currently apply</t>
  </si>
  <si>
    <t>KYC gated; Whitelisted only</t>
  </si>
  <si>
    <t>Access requires customer onboarding, KYC/AML checks, and registered or whitelisted wallets.</t>
  </si>
  <si>
    <t>All wallets must pass KYC/AML checks and be whitelisted prior to use</t>
  </si>
  <si>
    <t>Janus Henderson Anemoy AAA CLO Fund (JAAA)</t>
  </si>
  <si>
    <t>BVI</t>
  </si>
  <si>
    <t>The issuing entity is listed by the British Virgin Islands Financial Services Commission.</t>
  </si>
  <si>
    <t>Regulatory finding</t>
  </si>
  <si>
    <t>Anemoy Capital SPC Limited; Professional Funds; Currently Regulated Entities</t>
  </si>
  <si>
    <t>https://www.bvifsc.vg/regulated-entities/anemoy-capital-spc-limited</t>
  </si>
  <si>
    <t>Bankruptcy remote vehicle: SPV</t>
  </si>
  <si>
    <t>The tokenized fund is issued through a segregated portfolio company structure; bankruptcy remoteness is reported by Particula.</t>
  </si>
  <si>
    <t>Third party</t>
  </si>
  <si>
    <t>segregated portfolio issued by Anemoy Capital SPC Limited; bankruptcy-remote structure</t>
  </si>
  <si>
    <t>https://particula.io/rating-reports/particula-rating-report-anemoy-jaaa-november-2025</t>
  </si>
  <si>
    <t>No explicit tokenholder voting system was found in the reviewed official materials.</t>
  </si>
  <si>
    <t>https://www.anemoy.io/funds/jaaa</t>
  </si>
  <si>
    <t>RWA.xyz identifies Circle as crypto custodian; official materials reviewed did not provide more detail.</t>
  </si>
  <si>
    <t>Crypto Custodian Circle</t>
  </si>
  <si>
    <t>https://app.rwa.xyz/assets/JAAA</t>
  </si>
  <si>
    <t>The fund token represents shares in a segregated portfolio issued by Anemoy Capital SPC Limited.</t>
  </si>
  <si>
    <t>JAAA token represents shares in a segregated portfolio issued by Anemoy Capital SPC Limited</t>
  </si>
  <si>
    <t>Regulated open-ended BVI fund for non-US professional investors</t>
  </si>
  <si>
    <t>The token is described as representing shares in the pooled fund vehicle.</t>
  </si>
  <si>
    <t>JAAA token represents shares in a segregated portfolio</t>
  </si>
  <si>
    <t>Official materials state subscriptions and redemptions in stablecoins and describe risk-managed income.</t>
  </si>
  <si>
    <t>Subscriptions &amp; redemptions in stablecoins; risk-managed income</t>
  </si>
  <si>
    <t>The fund primarily invests in AAA-rated CLO tranches backed by corporate loans.</t>
  </si>
  <si>
    <t>AAA-rated tranches backed by diversified pools of senior secured loans issued by corporations</t>
  </si>
  <si>
    <t>https://gov.centrifuge.io/t/cp158-pool-onboarding-janus-henderson-anemoy-aaa-clo-fund/6845</t>
  </si>
  <si>
    <t>MHA Cayman</t>
  </si>
  <si>
    <t>Auditor is MHA Cayman. No other specs found</t>
  </si>
  <si>
    <t>Auditor is MHA Cayman</t>
  </si>
  <si>
    <t>Other (transparent onchain NAV reporting)</t>
  </si>
  <si>
    <t>Official materials state that JAAA has transparent onchain NAV reporting.</t>
  </si>
  <si>
    <t>Transparent onchain NAV reporting</t>
  </si>
  <si>
    <t>The Ethereum token contract is reported with six decimals.</t>
  </si>
  <si>
    <t>https://etherscan.io/token/0x5a0F93D040De44e78F251b03c43be9CF317Dcf64</t>
  </si>
  <si>
    <t>Official materials state that subscriptions and redemptions occur in stablecoins.</t>
  </si>
  <si>
    <t>Subscriptions &amp; redemptions in stablecoins</t>
  </si>
  <si>
    <t>Centrifuge share-token documentation states that share tokens are burned when redeemed.</t>
  </si>
  <si>
    <t>issued when a user deposits, and burned when they redeem</t>
  </si>
  <si>
    <t>https://docs.centrifuge.io/user/concepts/share-tokens</t>
  </si>
  <si>
    <t>Conditionally restricted (non-US professional investors; programmable compliance)</t>
  </si>
  <si>
    <t>Official materials describe a regulated fund for non-US professional investors and programmable compliance.</t>
  </si>
  <si>
    <t>Regulated open-ended BVI fund for non-US professional investors; Programmable compliance</t>
  </si>
  <si>
    <t>Ethereum; Base; Avalanche; BSC; Solana</t>
  </si>
  <si>
    <t>DefiLlama lists current JAAA chain deployments; official page only states supported chains without naming them.</t>
  </si>
  <si>
    <t>Chains: Ethereum; Base; Avalanche; BSC; Solana</t>
  </si>
  <si>
    <t>https://defillama.com/rwa/asset/JAAA</t>
  </si>
  <si>
    <t>Official materials describe the product as a yield/income strategy backed by CLO tranches.</t>
  </si>
  <si>
    <t>Strong income potential; AAA Collateralized Loan Obligations</t>
  </si>
  <si>
    <t>Centrifuge share-token documentation says value accrues into token price rather than increasing balances.</t>
  </si>
  <si>
    <t>price-accruing, meaning their value increases over time rather than their balance increasing</t>
  </si>
  <si>
    <t>Official materials describe JAAA as an open-ended fund with subscriptions and redemptions.</t>
  </si>
  <si>
    <t>Regulated open-ended BVI fund; Subscriptions &amp; redemptions in stablecoins</t>
  </si>
  <si>
    <t>Collateral in lending (Aave Horizon)</t>
  </si>
  <si>
    <t>Centrifuge states that JAAA is used in Aave Horizon as collateral for stablecoin borrowing.</t>
  </si>
  <si>
    <t>JAAA ... become programmable collateral; used directly to borrow stablecoins</t>
  </si>
  <si>
    <t>https://centrifuge.io/blog/centrifuge-aave-horizon</t>
  </si>
  <si>
    <t>Minting/subscription; redemption/burn; transfer permissioning; NAV/price oracle reporting; multichain token issuance</t>
  </si>
  <si>
    <t>Centrifuge documentation describes share-token issuance, redemption/burn, transfer hooks, vaults, NAV and price-oracle updates.</t>
  </si>
  <si>
    <t>Spoke deploys ERC-20 share tokens ... transfer hooks; NAV calculations ... price oracle updates</t>
  </si>
  <si>
    <t>https://docs.centrifuge.io/developer/protocol/overview/</t>
  </si>
  <si>
    <t>Management fee</t>
  </si>
  <si>
    <t>Management Fees 0.40%; Subscription Fees 0%; Redemption Fees 0%</t>
  </si>
  <si>
    <t>Qualified investors only</t>
  </si>
  <si>
    <t>Official materials limit the fund to non-US professional investors.</t>
  </si>
  <si>
    <t>Janus Henderson Anemoy Treasury Fund (JTRSY)</t>
  </si>
  <si>
    <t>Official Anemoy materials state the fund is approved and regulated by the BVI FSC.</t>
  </si>
  <si>
    <t>approved and regulated by the BVI Financial Services Commission (BVI FSC)</t>
  </si>
  <si>
    <t>https://www.anemoy.io/funds/jtrsy</t>
  </si>
  <si>
    <t>Official Anemoy materials describe the structure as a bankruptcy remote SPV.</t>
  </si>
  <si>
    <t>Bankruptcy remote SPV</t>
  </si>
  <si>
    <t>No explicit tokenholder voting system was found in reviewed official materials.</t>
  </si>
  <si>
    <t>No explicit tokenholder voting-system statement located in reviewed official documentation.</t>
  </si>
  <si>
    <t>RWA.xyz lists Pershing LLC as custodian and Anemoy says the fund uses an independent custodian.</t>
  </si>
  <si>
    <t>Official / third party</t>
  </si>
  <si>
    <t>independent prime broker, custodian, tokenization and issuance and fund admin service providers; Custodian Legal Identifier Pershing LLC</t>
  </si>
  <si>
    <t>https://www.anemoy.io/funds/jtrsy; https://app.rwa.xyz/assets/JTRSY</t>
  </si>
  <si>
    <t>Direct title (token holder is legal owner)</t>
  </si>
  <si>
    <t>The token represents an ownership share in the Fund. It is prima facie evidence of ownership under BVI law</t>
  </si>
  <si>
    <t>The fund is approved and regulated by the BVI Financial Services Commission (BVI FSC).</t>
  </si>
  <si>
    <t>Official materials describe JTRSY as a fund ownership share with legal claims on AUM.</t>
  </si>
  <si>
    <t>ownership share in the Fund; Legal claims on the assets under management</t>
  </si>
  <si>
    <t>Official materials describe daily redemptions and U.S. Treasury yield exposure.</t>
  </si>
  <si>
    <t>offers daily redemptions; Maximized US treasury yield</t>
  </si>
  <si>
    <t>Official materials state the product provides direct access to short-term U.S. Treasury bills.</t>
  </si>
  <si>
    <t>direct access to short-term US Treasury bills</t>
  </si>
  <si>
    <t>https://centrifuge.io/blog/liquid-treasury-fund-partnership</t>
  </si>
  <si>
    <t>Auditor: MHA Cayman</t>
  </si>
  <si>
    <t>https://forum.arbitrum.foundation/t/centrifuge-janus-henderson-anemoy-treasury-fund-jtrsy-step-ii-application/23496</t>
  </si>
  <si>
    <t>Other</t>
  </si>
  <si>
    <t>Official materials describe near-real-time fund composition visibility and onchain verification.</t>
  </si>
  <si>
    <t>overall fund composition via Centrifuge in near real-time, which can be further verified onchain</t>
  </si>
  <si>
    <t>Centrifuge share tokens follow ERC-20 and RWA.xyz reports a decimal token supply.</t>
  </si>
  <si>
    <t>Official documentation / third party</t>
  </si>
  <si>
    <t>Follow the ERC-20 standard; Token Supply 1,384,632,603.96</t>
  </si>
  <si>
    <t>https://docs.centrifuge.io/user/concepts/share-tokens/; https://app.rwa.xyz/assets/JTRSY</t>
  </si>
  <si>
    <t>Official materials state redemptions in USDC and also that redemptions in kind are allowed.</t>
  </si>
  <si>
    <t>Investments and redemptions in USDC; Allows redemptions-in-kind</t>
  </si>
  <si>
    <t>Centrifuge share-token documentation states share tokens are burned when users redeem.</t>
  </si>
  <si>
    <t>https://docs.centrifuge.io/user/concepts/share-tokens/</t>
  </si>
  <si>
    <t>Centrifuge's official partnership post states subscriptions are limited to whitelisted wallets.</t>
  </si>
  <si>
    <t>permissioned access controls and limiting subscriptions to investors with whitelisted wallets</t>
  </si>
  <si>
    <t>Ethereum; Base; Arbitrum; Celo</t>
  </si>
  <si>
    <t>Janus Henderson cites the S&amp;P report stating fund tokens are issued on these chains.</t>
  </si>
  <si>
    <t>fund tokens are issued on Ethereum, Base, Arbitrum, and Celo</t>
  </si>
  <si>
    <t>https://www.janushenderson.com/en-us/advisor/press-releases/janus-henderson-anemoy-treasury-fund-receives-highest-tokenized-fund-rating/</t>
  </si>
  <si>
    <t>Official materials describe JTRSY as providing U.S. Treasury yield from T-bills.</t>
  </si>
  <si>
    <t>direct access to &lt;6 month US Treasury Yield</t>
  </si>
  <si>
    <t>Centrifuge share-token documentation describes price-accruing tokens.</t>
  </si>
  <si>
    <t>No explicit predetermined cap or uncapped-supply statement was found in reviewed official materials. The fund is open-end</t>
  </si>
  <si>
    <t>The fund is open-end; no supply cap was found</t>
  </si>
  <si>
    <t>Centrifuge states that JTRSY is in Aave Horizon and can be used to borrow stablecoins.</t>
  </si>
  <si>
    <t>Janus Henderson Anemoy Treasury Fund (JTRSY); used directly to borrow stablecoins</t>
  </si>
  <si>
    <t>Centrifuge protocol docs describe issuance, redemption, transfer hooks, NAV/pricing, oracles, and multichain token deployment.</t>
  </si>
  <si>
    <t>issued, transferred, and redeemed; transfer hooks for compliance; NAV calculations; price oracle updates</t>
  </si>
  <si>
    <t>Management Fees 0.25%; Subscription Fees 0%; Redemption Fees 0%</t>
  </si>
  <si>
    <t>https://app.rwa.xyz/assets/JTRSY</t>
  </si>
  <si>
    <t>Qualified investors only; Whitelisted only</t>
  </si>
  <si>
    <t>Official and market materials describe permissioned access controls, whitelisted wallets, and non-U.S. professional investor access.</t>
  </si>
  <si>
    <t>non-US Professional Investors; investors with whitelisted wallets</t>
  </si>
  <si>
    <t>https://app.rwa.xyz/assets/JTRSY; https://centrifuge.io/blog/liquid-treasury-fund-partnership</t>
  </si>
  <si>
    <t>Official Superstate documentation identifies USTB as a Delaware statutory trust series, but no explicit dispute forum/arbitration venue was located in the public official documentation reviewed.</t>
  </si>
  <si>
    <t>WisdomTree Connect states that tokenized-fund redemptions can involve burning tokens; therefore a burn/cancellation mechanism is explicitly referenced.</t>
  </si>
  <si>
    <t>The official Anemoy page verifies that JAAA is a regulated BVI fund, but it does not explicitly designate a dispute forum.</t>
  </si>
  <si>
    <t>Official Anemoy documentation states that the token represents an ownership share in the fund and is prima facie evidence of ownership under BVI law; the bankruptcy-remote SPV is not the primary ownership structure for the tokenholder.</t>
  </si>
  <si>
    <t>Official Anemoy documentation verifies BVI regulatory approval, but does not explicitly designate BVI courts or any other dispute-resolution forum.</t>
  </si>
  <si>
    <t>Ondo OUSG</t>
  </si>
  <si>
    <t>Official notes identify Ondo I LP as a Delaware USA limited partnership.</t>
  </si>
  <si>
    <t>Delaware (USA) limited partnership</t>
  </si>
  <si>
    <t>https://docs.ondo.finance/qualified-access-products/ousg/important-notes</t>
  </si>
  <si>
    <t>Direct Issuer: LP</t>
  </si>
  <si>
    <t>Official docs identify the issuer/fund as Ondo I LP.</t>
  </si>
  <si>
    <t>issuer of OUSG is Ondo I LP</t>
  </si>
  <si>
    <t>https://docs.ondo.finance/qualified-access-products/ousg/regulatory-compliance</t>
  </si>
  <si>
    <t>No explicit OUSG tokenholder voting system was found in reviewed official OUSG docs.</t>
  </si>
  <si>
    <t>No explicit voting-system statement located.</t>
  </si>
  <si>
    <t>https://docs.ondo.finance/qualified-access-products/ousg/overview</t>
  </si>
  <si>
    <t>Official materials describe Coinbase as custodian and list Coinbase Prime custodian accounts.</t>
  </si>
  <si>
    <t>Coinbase Prime custodian account</t>
  </si>
  <si>
    <t>https://docs.ondo.finance/addresses</t>
  </si>
  <si>
    <t>OTHER - Limited Partnership</t>
  </si>
  <si>
    <t>OUSG does not fit the existing SPV-held category: Ondo states that investors become limited partners in Ondo I LP by acquiring OUSG tokens, each representing a unitized LP interest.</t>
  </si>
  <si>
    <t>Investors become limited partners in the Fund by acquiring OUSG tokens, each of which represents a unitized limited partnership interest in the Fund.</t>
  </si>
  <si>
    <t>https://docs.ondo.finance/trust-and-security</t>
  </si>
  <si>
    <t>The issuer of OUSG is Ondo I LP, a Delaware (USA) limited partnership</t>
  </si>
  <si>
    <t>OUSG represents unitized limited partnership interests in a pooled fund.</t>
  </si>
  <si>
    <t>unitized limited partnership interest</t>
  </si>
  <si>
    <t>Official docs describe redemption and daily yield incorporated into token NAV.</t>
  </si>
  <si>
    <t>redeem your OUSG tokens for USDC</t>
  </si>
  <si>
    <t>Official docs state OUSG gives exposure primarily to short-term US Treasuries and GSE securities.</t>
  </si>
  <si>
    <t>short-term US Treasuries</t>
  </si>
  <si>
    <t>Yes; annual; https://docs.ondo.finance/qualified-access-products/ousg/trust-and-transparency</t>
  </si>
  <si>
    <t>Official docs say Qualified Access Funds are audited annually.</t>
  </si>
  <si>
    <t>audited annually</t>
  </si>
  <si>
    <t>https://docs.ondo.finance/qualified-access-products/ousg/trust-and-transparency</t>
  </si>
  <si>
    <t>Official docs state the OUSG Price Oracle is updated onchain to reflect NAV.</t>
  </si>
  <si>
    <t>update the OUSG Price Oracle onchain</t>
  </si>
  <si>
    <t>RWA.xyz reports OUSG token supply with fractional units.</t>
  </si>
  <si>
    <t>Token Supply 6,538,519.73</t>
  </si>
  <si>
    <t>https://app.rwa.xyz/assets/OUSG</t>
  </si>
  <si>
    <t>Official docs state instant redemptions return USDC.</t>
  </si>
  <si>
    <t>receive your USDC</t>
  </si>
  <si>
    <t>https://docs.ondo.finance/qualified-access-products/ousg/redeeming</t>
  </si>
  <si>
    <t>No explicit token-burn-on-redemption statement was found in reviewed official OUSG docs.</t>
  </si>
  <si>
    <t>No explicit burn statement located.</t>
  </si>
  <si>
    <t>Official docs restrict investing, redeeming, holding, receiving, and transfers to onboarded qualified-access users.</t>
  </si>
  <si>
    <t>onboarded to our Qualified-Access Funds</t>
  </si>
  <si>
    <t>https://docs.ondo.finance/qualified-access-products/ousg/eligibility-and-onboarding</t>
  </si>
  <si>
    <t>Ethereum; Polygon; Solana; XRP Ledger</t>
  </si>
  <si>
    <t>Official technical docs list OUSG deployments on these chains.</t>
  </si>
  <si>
    <t>Ethereum mainnet, Polygon, Solana, and XRP Ledger</t>
  </si>
  <si>
    <t>https://docs.ondo.finance/qualified-access-products/ousg/technical</t>
  </si>
  <si>
    <t>Official docs state yield comes from Treasury funds and related portfolio investments accruing yield.</t>
  </si>
  <si>
    <t>investments accrue yield daily</t>
  </si>
  <si>
    <t>https://docs.ondo.finance/qualified-access-products/ousg/yield</t>
  </si>
  <si>
    <t>Official docs state yield is reinvested into the fund and increases token value rather than separate payout.</t>
  </si>
  <si>
    <t>increasing the value of their existing OUSG tokens</t>
  </si>
  <si>
    <t>No explicit predetermined cap or uncapped supply statement was found in reviewed official materials.</t>
  </si>
  <si>
    <t>No explicit supply-cap statement located.</t>
  </si>
  <si>
    <t>Collateral in lending (Flux Finance)</t>
  </si>
  <si>
    <t>Official Ondo protocol docs describe Flux as a marketplace backed by high-quality collateral such as OUSG.</t>
  </si>
  <si>
    <t>collateral such as OUSG</t>
  </si>
  <si>
    <t>https://docs.ondo.finance/protocols</t>
  </si>
  <si>
    <t>Minting/subscription; redemption; transfer permissioning; on-chain price oracle; multichain token issuance</t>
  </si>
  <si>
    <t>Official docs and address tables identify instant manager, registry, oracle, and OUSG token deployments.</t>
  </si>
  <si>
    <t>buy or redeem OUSG</t>
  </si>
  <si>
    <t>management fee</t>
  </si>
  <si>
    <t>Official fee docs state Ondo charges a management fee of 0.15%, currently waived until July 1, 2026.</t>
  </si>
  <si>
    <t>management fee of 0.15%</t>
  </si>
  <si>
    <t>https://docs.ondo.finance/qualified-access-products/ousg/fees-and-taxes</t>
  </si>
  <si>
    <t>Official docs restrict OUSG to accredited investors and qualified purchasers with onboarding/KYC.</t>
  </si>
  <si>
    <t>accredited investors and qualified purchasers</t>
  </si>
  <si>
    <t>BlackRock USD Institutional Digital Liquidity Fund - I Class (BUIDL-I)</t>
  </si>
  <si>
    <t>SEC Form D identifies the issuer jurisdiction as the British Virgin Islands, mapped to the taxonomy value BVI.</t>
  </si>
  <si>
    <t>Jurisdiction of Incorporation/Organization VIRGIN ISLANDS, BRITISH</t>
  </si>
  <si>
    <t>https://www.sec.gov/Archives/edgar/data/2013810/000201439024000001/xslFormDX01/primary_doc.xml</t>
  </si>
  <si>
    <t>SEC Form D identifies the issuer as a Limited Company.</t>
  </si>
  <si>
    <t>Other (Specify) Limited Company</t>
  </si>
  <si>
    <t>No explicit tokenholder voting system was found in reviewed official BUIDL materials.</t>
  </si>
  <si>
    <t>https://www.businesswire.com/news/home/20240320771318/en/BlackRock-Launches-Its-First-Tokenized-Fund-BUIDL-on-the-Ethereum-Network</t>
  </si>
  <si>
    <t>BlackRock launch release names Bank of New York Mellon as custodian of fund assets.</t>
  </si>
  <si>
    <t>Bank of New York Mellon will serve as the custodian of the Fund's assets</t>
  </si>
  <si>
    <t>Official materials describe a pooled fund whose own assets are invested by the Fund, not direct tokenholder title to each underlying asset.</t>
  </si>
  <si>
    <t>The Fund invests 100% of its total assets</t>
  </si>
  <si>
    <t>No explicit fund dispute forum was found in reviewed public official BUIDL materials.</t>
  </si>
  <si>
    <t>No explicit fund dispute-forum statement located.</t>
  </si>
  <si>
    <t>Form D identifies the securities as pooled investment fund interests; BlackRock describes tokenized ownership on a blockchain.</t>
  </si>
  <si>
    <t>Regulatory filing; Official</t>
  </si>
  <si>
    <t>Pooled Investment Fund Interests</t>
  </si>
  <si>
    <t>https://www.sec.gov/Archives/edgar/data/2013810/000201439024000001/xslFormDX01/primary_doc.xml; https://www.businesswire.com/news/home/20240320771318/en/BlackRock-Launches-Its-First-Tokenized-Fund-BUIDL-on-the-Ethereum-Network</t>
  </si>
  <si>
    <t>Redemption right; Income distribution right; Interest entitlement</t>
  </si>
  <si>
    <t>Official launch release describes redemptions, distributions, and daily accrued dividends.</t>
  </si>
  <si>
    <t>redemptions, and distributions; "earn yield"</t>
  </si>
  <si>
    <t>BUIDL invests in cash, U.S. Treasury bills, and repurchase agreements.</t>
  </si>
  <si>
    <t>cash, U.S. Treasury bills, and repurchase agreements</t>
  </si>
  <si>
    <t>Yes; frequency UNKNOWN; https://www.businesswire.com/news/home/20240320771318/en/BlackRock-Launches-Its-First-Tokenized-Fund-BUIDL-on-the-Ethereum-Network</t>
  </si>
  <si>
    <t>BlackRock launch release says PwC was appointed as auditor; no recurring audit frequency was located.</t>
  </si>
  <si>
    <t>PricewaterhouseCoopers LLP has been appointed as the Fund's auditor</t>
  </si>
  <si>
    <t>No explicit on-chain proof-of-reserves or asset-backing mechanism was found in reviewed official BUIDL materials.</t>
  </si>
  <si>
    <t>No explicit on-chain proof-of-reserves statement located.</t>
  </si>
  <si>
    <t>The BUIDL-I ERC-20 contract is shown with six decimals.</t>
  </si>
  <si>
    <t>https://etherscan.io/token/0x6a9DA2D710BB9B700acde7Cb81F10F1fF8C89041</t>
  </si>
  <si>
    <t>Official materials reviewed mention redemptions but do not explicitly state the primary redemption settlement form.</t>
  </si>
  <si>
    <t>Securitize will act as a transfer agent and tokenization platform, managing ... redemptions</t>
  </si>
  <si>
    <t>No explicit burn-on-redemption or cancellation statement was found in reviewed official BUIDL materials.</t>
  </si>
  <si>
    <t>No explicit burn-on-redemption statement located.</t>
  </si>
  <si>
    <t>Official release limits transfers to other pre-approved investors.</t>
  </si>
  <si>
    <t>transfer their tokens 24/7/365 to other pre-approved investors</t>
  </si>
  <si>
    <t>Ethereum</t>
  </si>
  <si>
    <t>BlackRock's official token-address page lists the BUIDL-I address under Ethereum.</t>
  </si>
  <si>
    <t>Official; On chain data</t>
  </si>
  <si>
    <t>Ethereum: 0x6a9DA2D710BB9B700acde7Cb81F10F1fF8C89041</t>
  </si>
  <si>
    <t>https://www.blackrock.com/corporate/compliance/scams-and-fraud/resources; https://etherscan.io/token/0x6a9DA2D710BB9B700acde7Cb81F10F1fF8C89041</t>
  </si>
  <si>
    <t>Yield is generated by the fund's cash, Treasury bills, and repo investments.</t>
  </si>
  <si>
    <t>allowing investors to earn yield while holding the token</t>
  </si>
  <si>
    <t>Official release states accrued dividends are paid as new tokens each month.</t>
  </si>
  <si>
    <t>pays daily accrued dividends directly to investors' wallets as new tokens each month</t>
  </si>
  <si>
    <t>SEC Form D states the offering amount and remaining amount are indefinite, indicating no fixed offering cap was disclosed.</t>
  </si>
  <si>
    <t>Total Offering Amount USD or X Indefinite</t>
  </si>
  <si>
    <t>Collateral for trading; DeFi access; stablecoin liquidity/off-ramp</t>
  </si>
  <si>
    <t>Securitize release describes institutional utility including DeFi access and collateral for trading.</t>
  </si>
  <si>
    <t>DeFi access, and collateral for trading</t>
  </si>
  <si>
    <t>https://www.prnewswire.com/news-releases/blackrock-usd-institutional-digital-liquidity-fund-buidl-tokenized-by-securitize-surpasses-1b-in-aum-302401480.html</t>
  </si>
  <si>
    <t>ERC-20 proxy token; transfer permissioning; smart-contract USDC off-ramp</t>
  </si>
  <si>
    <t>Etherscan identifies BUIDL-I as an ERC-20 proxy contract; Circle describes smart-contract USDC off-ramp functionality.</t>
  </si>
  <si>
    <t>On chain data; Official</t>
  </si>
  <si>
    <t>ERC-20 Source Code (Proxy)</t>
  </si>
  <si>
    <t>https://etherscan.io/token/0x6a9DA2D710BB9B700acde7Cb81F10F1fF8C89041; https://www.circle.com/pressroom/circle-announces-usdc-smart-contract-for-transfers-by-blackrocks-buidl-fund-investors</t>
  </si>
  <si>
    <t>upfront flat fee; quarterly NAV-based placement-agent fee</t>
  </si>
  <si>
    <t>official disclosure identifies placement-agent compensation structure.</t>
  </si>
  <si>
    <t>an upfront flat fee and ... a quarterly fee</t>
  </si>
  <si>
    <t>Qualified investors only; pre-approved investors only; Securitize Markets subscription</t>
  </si>
  <si>
    <t>Official materials limit subscription to qualified investors through Securitize Markets and transfers to pre-approved investors.</t>
  </si>
  <si>
    <t>qualified investors ... subscribing to the Fund through Securitize Markets, LLC</t>
  </si>
  <si>
    <t>Hastra PRIME (PRIME)</t>
  </si>
  <si>
    <t>Terms states company is organized under the laws of BVI</t>
  </si>
  <si>
    <t>https://hastra.io/terms</t>
  </si>
  <si>
    <t>Limited Liability Company</t>
  </si>
  <si>
    <t>Terms states it is a Ltd</t>
  </si>
  <si>
    <t>No explicit PRIME tokenholder voting mechanism was found in reviewed official documentation.</t>
  </si>
  <si>
    <t>https://help.hastra.io/prime/what-is-prime-%28staked-wylds%29</t>
  </si>
  <si>
    <t>Trust arrangement (intra-group, non-independent)</t>
  </si>
  <si>
    <t>Depends on the pool</t>
  </si>
  <si>
    <t>Very low</t>
  </si>
  <si>
    <t>Beneficial Ownership</t>
  </si>
  <si>
    <t>Figure entities hold legal title via Demo Prime 1 Trust and Figure Markets Margin LLC on behalf of lenders/token holders</t>
  </si>
  <si>
    <t>No governing-law or dispute-forum clause was found in reviewed official documentation.</t>
  </si>
  <si>
    <t>PRIME is described as a receipt token for a staked position and is redeemable for staked wYLDS plus earned amounts.</t>
  </si>
  <si>
    <t>Type: Yield-bearing receipt token; Represents staked PRIME position</t>
  </si>
  <si>
    <t>https://help.hastra.io/about-hastra/understanding-wylds-and-prime%3A-hastra%27s-stablecoin-ecosystem</t>
  </si>
  <si>
    <t>Official docs state PRIME can be unstaked and redeemed for the original wYLDS plus Demo Prime interest.</t>
  </si>
  <si>
    <t>unstake anytime; receive the original wYLDS ... plus additional wYLDS</t>
  </si>
  <si>
    <t>Private credit / HELOC lending</t>
  </si>
  <si>
    <t>Suggested taxonomy addition for the Asset Type column.</t>
  </si>
  <si>
    <t>Yield comes from real HELOC lending operations, Backed by actual home equity lines of credit</t>
  </si>
  <si>
    <t>No external audit or attestation provider for underlying assets was found in reviewed official documentation.</t>
  </si>
  <si>
    <t>No explicit third-party audit statement located in reviewed official documentation. There is only a protocol audit</t>
  </si>
  <si>
    <t>https://help.hastra.io/about-hastra/support</t>
  </si>
  <si>
    <t>Official support docs link to Hastra Proof of Reserves, but do not identify it as Chainlink PoR or an oracle feed.</t>
  </si>
  <si>
    <t>Hastra Proof of Reserves</t>
  </si>
  <si>
    <t>Yes it is divisible</t>
  </si>
  <si>
    <t>Divisible</t>
  </si>
  <si>
    <t>https://app.rwa.xyz/assets/PRIME</t>
  </si>
  <si>
    <t>Official docs state unstaking PRIME returns wYLDS rather than cash or physical delivery.</t>
  </si>
  <si>
    <t>When you unstake PRIME, you receive ... wYLDS</t>
  </si>
  <si>
    <t>https://help.hastra.io/wylds/claim-your-yields</t>
  </si>
  <si>
    <t>Official docs describe unstaking/redemption, but do not explicitly state that PRIME is burned.</t>
  </si>
  <si>
    <t>No explicit burn-on-redemption statement located in reviewed official documentation.</t>
  </si>
  <si>
    <t>Unrestricted</t>
  </si>
  <si>
    <t>Official docs state PRIME is fully transferable, with yield continuing to accrue to the holder.</t>
  </si>
  <si>
    <t>Yes, PRIME is fully transferable.</t>
  </si>
  <si>
    <t>Solana</t>
  </si>
  <si>
    <t>Official docs say PRIME currently operates primarily on Solana.</t>
  </si>
  <si>
    <t>Currently, PRIME operates primarily on Solana.</t>
  </si>
  <si>
    <t>Lending interest</t>
  </si>
  <si>
    <t>Official docs state PRIME receives interest generated from Demo Prime lending.</t>
  </si>
  <si>
    <t>PRIME receives the interest generated from Demo Prime</t>
  </si>
  <si>
    <t>Official docs say PRIME does not receive monthly airdrops; yield is reflected in increasing value.</t>
  </si>
  <si>
    <t>PRIME's price slowly increases in terms of wYLDS</t>
  </si>
  <si>
    <t>No capped or uncapped supply statement was found in reviewed official documentation.</t>
  </si>
  <si>
    <t>Collateral in lending (Solana lending protocols)</t>
  </si>
  <si>
    <t>Official docs state PRIME can be supplied to Solana lending protocols as DeFi collateral.</t>
  </si>
  <si>
    <t>Supply to lending protocols on Solana</t>
  </si>
  <si>
    <t>Staking; redemption/unstaking; transfer; DeFi collateral usage</t>
  </si>
  <si>
    <t>Official docs reference staking, unstaking, transferability, and smart-contract/staking functionality risk.</t>
  </si>
  <si>
    <t>Depends on Hastra's smart contract security</t>
  </si>
  <si>
    <t>No explicit Hastra PRIME protocol-fee schedule was found in reviewed official documentation.</t>
  </si>
  <si>
    <t>No explicit PRIME protocol-fee schedule located in reviewed official documentation.</t>
  </si>
  <si>
    <t>KYC Gated</t>
  </si>
  <si>
    <t>We may require you to provide additional information or documentation to verify or confirm your eligibility,</t>
  </si>
  <si>
    <t>Franklin OnChain U.S. Government Money Fund (BENJI)</t>
  </si>
  <si>
    <t>SAI states the Trust was organized as a Delaware statutory trust.</t>
  </si>
  <si>
    <t>The Trust was organized as a Delaware statutory trust</t>
  </si>
  <si>
    <t>https://www.franklintempleton.com/forms-literature/download-preview/9001-SAI</t>
  </si>
  <si>
    <t>The Fund is a series of Franklin Templeton Trust, organized as a Delaware statutory trust.</t>
  </si>
  <si>
    <t>Franklin Templeton Trust; Delaware statutory trust</t>
  </si>
  <si>
    <t>Yes (noncumulative shareholder voting rights; special meetings for matters requiring shareholder approval)</t>
  </si>
  <si>
    <t>SAI describes noncumulative voting rights and special shareholder meetings.</t>
  </si>
  <si>
    <t>The Trust has noncumulative voting rights</t>
  </si>
  <si>
    <t>SAI identifies JPMorgan Chase Bank as custodian of Fund assets.</t>
  </si>
  <si>
    <t>JPMorgan Chase Bank ... acts as custodian of the Fund's assets</t>
  </si>
  <si>
    <t>https://www.franklintempleton.com/press-releases/news-room/2024/franklin-templeton-announces-availability-of-peer-to-peer-transfers-for-franklin-onchain-u.s.-government-money-fund</t>
  </si>
  <si>
    <t>No explicit governing-law or dispute-forum clause was found in reviewed official documentation.</t>
  </si>
  <si>
    <t>https://www.franklintempleton.com/forms-literature/download-preview/9001-P</t>
  </si>
  <si>
    <t>BENJI represents shares of a pooled mutual fund rather than direct title to individual securities.</t>
  </si>
  <si>
    <t>1 share of FOBXX = 1 BENJI token</t>
  </si>
  <si>
    <t>https://digitalassets.franklintempleton.com/benji/</t>
  </si>
  <si>
    <t>Prospectus/SAI verify redemption, income distributions, and shareholder voting rights.</t>
  </si>
  <si>
    <t>redeem shares; distributions automatically reinvested; voting rights</t>
  </si>
  <si>
    <t>Prospectus says the Fund invests at least 99.5% in government securities, cash, and government-collateralized repos.</t>
  </si>
  <si>
    <t>invests at least 99.5% ... in Government securities, cash and repurchase agreements</t>
  </si>
  <si>
    <t>Yes; annual; https://www.franklintempleton.com/forms-literature/download-preview/9001-SAI</t>
  </si>
  <si>
    <t>SAI identifies PwC as independent registered public accounting firm auditing Fund financial statements.</t>
  </si>
  <si>
    <t>PricewaterhouseCoopers LLP ... audits the financial statements</t>
  </si>
  <si>
    <t>Official docs describe public transaction/share records, but no explicit proof-of-reserves or asset-backing oracle was found.</t>
  </si>
  <si>
    <t>Yes, it is divisible as shown by rwa.xyz</t>
  </si>
  <si>
    <t>https://app.rwa.xyz/assets/BENJI</t>
  </si>
  <si>
    <t>Cash</t>
  </si>
  <si>
    <t>Prospectus states redemption proceeds are paid by electronic funds transfer to a bank account.</t>
  </si>
  <si>
    <t>Redemption proceeds will be sent by electronic funds transfer</t>
  </si>
  <si>
    <t>Official docs describe redemption/selling shares but do not explicitly state BENJI tokens are burned.</t>
  </si>
  <si>
    <t>P2P transfer requires active, permissioned/whitelisted wallets registered with the transfer agent.</t>
  </si>
  <si>
    <t>active, permissioned (i.e., whitelisted) wallet</t>
  </si>
  <si>
    <t>Stellar; Polygon; Arbitrum; Avalanche; Aptos; Ethereum; Base; Solana; BNB Smart Chain</t>
  </si>
  <si>
    <t>Official BENJI page lists deployed/available networks, including retail/institutional availability.</t>
  </si>
  <si>
    <t>Fund objective/current yield comes from U.S. government securities and repos.</t>
  </si>
  <si>
    <t>higher price, which reflects prevailing short-term interest rates</t>
  </si>
  <si>
    <t>Rebase</t>
  </si>
  <si>
    <t>BENJI yield is delivered as additional token/share units via daily newly minted BENJI and reinvestment.</t>
  </si>
  <si>
    <t>Your income dividends and capital gain distributions will be
automatically reinvested in additional shares at net asset value
on the payable date</t>
  </si>
  <si>
    <t>No explicit token supply cap statement located.</t>
  </si>
  <si>
    <t>Collateral when trading on Binance</t>
  </si>
  <si>
    <t>Used as collateral in Binance</t>
  </si>
  <si>
    <t>https://www.binance.com/en/blog/vip/1487561092272022488</t>
  </si>
  <si>
    <t>Token issuance/recordkeeping; transfer permissioning; peer-to-peer transfer; wallet permissioning; intraday yield distribution; administrative/clawback controls</t>
  </si>
  <si>
    <t>Prospectus describes smart-contract whitelisting/admin controls, P2P transfers, wallet permissioning, and intraday yield allocation.</t>
  </si>
  <si>
    <t>smart contract technology to incorporate a whitelist</t>
  </si>
  <si>
    <t>Prospectus lists a management fee; blockchain network fees are borne by the manager/affiliates for hosted wallets.</t>
  </si>
  <si>
    <t>Management fees 0.15%</t>
  </si>
  <si>
    <t>Prospectus requires AML/KYC collection and approved/whitelisted wallets through the App or Institutional Web Portal.</t>
  </si>
  <si>
    <t>anti-money laundering and know-your-customer policies</t>
  </si>
  <si>
    <t>Superstate Crypto Carry Fund (USCC)</t>
  </si>
  <si>
    <t>Official page lists domicile as United States.</t>
  </si>
  <si>
    <t>Domicile United States</t>
  </si>
  <si>
    <t>https://superstate.com/assets/uscc</t>
  </si>
  <si>
    <t>Docs state the fund is a bankruptcy-remote Delaware statutory trust series.</t>
  </si>
  <si>
    <t>organized as a series of Superstate Asset Trust, a Delaware statutory trust</t>
  </si>
  <si>
    <t>https://docs.superstate.com/superstate-funds/uscc/legal-structure</t>
  </si>
  <si>
    <t>No explicit tokenholder voting system found in reviewed official USCC docs.</t>
  </si>
  <si>
    <t>Official security docs identify Anchorage Digital Bank N.A. custody for USCC assets.</t>
  </si>
  <si>
    <t>Fund digital assets and cash are held at Anchorage Digital Bank N.A.</t>
  </si>
  <si>
    <t>https://docs.superstate.com/welcome-to-superstate/security</t>
  </si>
  <si>
    <t>Underlying exposure is held through the Delaware statutory trust fund structure.</t>
  </si>
  <si>
    <t>shareholder's investment in the Fund is in a separate legal entity</t>
  </si>
  <si>
    <t>No explicit dispute forum found in reviewed official USCC docs.</t>
  </si>
  <si>
    <t>USCC represents ownership in a pooled fund with NAV per share.</t>
  </si>
  <si>
    <t>Ownership in the Fund is recognized by USCC</t>
  </si>
  <si>
    <t>Docs describe redemption rights and income reflected in NAV.</t>
  </si>
  <si>
    <t>The NAV increases over time, allowing you to redeem a share of USCC</t>
  </si>
  <si>
    <t>https://docs.superstate.com/superstate-funds/uscc/income-fees-and-yield</t>
  </si>
  <si>
    <t>crypto basis positions, staking and/or U.S. Treasury securities</t>
  </si>
  <si>
    <t>The Fund invests crypto basis positions, staking and/or U.S. Treasury securities</t>
  </si>
  <si>
    <t>Yes; annual; https://superstate.com/assets/uscc</t>
  </si>
  <si>
    <t>Official page names Ernst &amp; Young LLP as auditor; docs state annual audited statements.</t>
  </si>
  <si>
    <t>After the end of a calendar year, audited financial statements</t>
  </si>
  <si>
    <t>Smart-contract docs identify the Chainlink USCC NAV/S oracle.</t>
  </si>
  <si>
    <t>Chainlink puts the USTB/USCC Net Asset Value per Share price onchain</t>
  </si>
  <si>
    <t>Official asset page displays fractional USCC share balances.</t>
  </si>
  <si>
    <t>10,952,245.76 USCC</t>
  </si>
  <si>
    <t>Purchase and redemption can use USD or USDC.</t>
  </si>
  <si>
    <t>Subscriptions and redemptions are facilitated through USD or USDC</t>
  </si>
  <si>
    <t>https://docs.superstate.com/superstate-funds/uscc</t>
  </si>
  <si>
    <t>Redemption flow includes burn/transfer, and EVM bridging burns source-chain tokens.</t>
  </si>
  <si>
    <t>allows users to burn their tokens on the source chain</t>
  </si>
  <si>
    <t>Transfers require both sender and receiver to be on the allowlist.</t>
  </si>
  <si>
    <t>freely transferrable between addresses that are on the Allowlist</t>
  </si>
  <si>
    <t>Superstate Funds docs list supported USCC networks.</t>
  </si>
  <si>
    <t>Shares ... are issued as tokens on Ethereum, Solana, Plume</t>
  </si>
  <si>
    <t>https://docs.superstate.com/superstate-funds</t>
  </si>
  <si>
    <t>basis accrual, staking rewards, and mark-to-market effects</t>
  </si>
  <si>
    <t>USCC’s 30-day yield is calculated based on the change in NAV over the applicable period and incorporates all realized and unrealized income, including basis accrual, staking rewards, and mark-to-market effects. The yield reflects the economic performance of the portfolio rather than cash distributions alone.</t>
  </si>
  <si>
    <t>Token count stays static while NAV/share increases.</t>
  </si>
  <si>
    <t>your token balance stays the same unless you mint, burn, or transfer</t>
  </si>
  <si>
    <t>No explicit predetermined cap or uncapped subscription statement found in reviewed official USCC docs.</t>
  </si>
  <si>
    <t>No explicit supply-cap statement located in reviewed official documentation.</t>
  </si>
  <si>
    <t>Collateral in lending (Aave; Kamino; Morpho)</t>
  </si>
  <si>
    <t>Official asset page lists USCC DeFi integrations as borrowing and lending.</t>
  </si>
  <si>
    <t>Aave ... Borrowing and lending; Kamino ... Borrowing and lending; Morpho ... Borrowing and lending</t>
  </si>
  <si>
    <t>Smart-contract docs describe shared USTB/USCC mint, redeem, allowlist, bridge, and oracle functions.</t>
  </si>
  <si>
    <t>Mint - Superstate can call the mint function to mint new shares</t>
  </si>
  <si>
    <t>custodial, administrative, and audit fees, management fee</t>
  </si>
  <si>
    <t>custodial, administrative, and audit fees, and pays a 75bps management fee</t>
  </si>
  <si>
    <t>USCC requires Qualified Purchaser onboarding and allowlisted wallets.</t>
  </si>
  <si>
    <t>eligible Qualified Purchasers must onboard as an investor</t>
  </si>
  <si>
    <t>The issuer is explicitly identified as Ondo I LP, a Delaware limited partnership, but no public official documentation reviewed explicitly designates Delaware, New York, arbitration, or another dispute forum.</t>
  </si>
  <si>
    <t>Depends ion the specific pool of the protocol</t>
  </si>
  <si>
    <t>One share of the Fund is represented by one BENJI token and the Fund's transfer agent maintains the official record of share ownership</t>
  </si>
  <si>
    <t>Franklin Templeton states that one fund share is represented by one BENJI token and that the transfer agent maintains the official record of share ownership, so BENJI represents fund shares rather than a claim on an SPV.</t>
  </si>
  <si>
    <t>Exodus Movement, Inc. Class B (EXODB)</t>
  </si>
  <si>
    <t>Latest official filing states Exodus now continues as a Texas corporation after redomestication.</t>
  </si>
  <si>
    <t>continues its existence as a Texas corporation</t>
  </si>
  <si>
    <t>https://www.exodus.com/investors/sec-filings/all-sec-filingS/content/0001193125-25-314369/exod-20251208.htm</t>
  </si>
  <si>
    <t>Direct Issuer: Inc.</t>
  </si>
  <si>
    <t>Issuer is Exodus Movement, Inc.; no SPV, trust, or wrapper issuer was identified for EXODB.</t>
  </si>
  <si>
    <t>Exodus Movement, Inc.</t>
  </si>
  <si>
    <t>The Common Stock Tokens themselves carry no economic, governance or other rights.</t>
  </si>
  <si>
    <t>https://www.sec.gov/Archives/edgar/data/1821534/000114036124038633/ny20031698x3_1012ga.htm</t>
  </si>
  <si>
    <t>N/A</t>
  </si>
  <si>
    <t>The Class A common stock is a security whose ownership is recorded solely on the books of our transfer agent, Securitize</t>
  </si>
  <si>
    <t>Third-party RWA documentation says EXODB mirrors the underlying security on the issuer shareholder register rather than being synthetic.</t>
  </si>
  <si>
    <t>mirror the underlying security on the issuer's shareholder register</t>
  </si>
  <si>
    <t>https://defillama.com/rwa/asset/EXODB</t>
  </si>
  <si>
    <t>USA (Federal courts); Texas Business Court</t>
  </si>
  <si>
    <t>Latest securities description names Texas Business Court for internal entity claims and U.S. federal district courts for Securities Act claims.</t>
  </si>
  <si>
    <t>Texas Business Court ... sole and exclusive forum</t>
  </si>
  <si>
    <t>https://www.exodus.com/investors/sec-filings/all-sec-filings/content/0001821534-26-000009/descriptionofsecurities.htm</t>
  </si>
  <si>
    <t>Direct Claim on asset</t>
  </si>
  <si>
    <t>RWA.xyz identifies EXODB as tokenized Exodus Movement Inc. Class B common shares, not a derivative exposure.</t>
  </si>
  <si>
    <t>Tokenized Exodus Movement Inc. Class B common shares</t>
  </si>
  <si>
    <t>https://app.rwa.xyz/assets/EXODB</t>
  </si>
  <si>
    <t>Income distribution right; Governance/voting</t>
  </si>
  <si>
    <t>Class B shares carry voting rights and dividend/distribution rights if declared.</t>
  </si>
  <si>
    <t>entitled to receive dividends, if any</t>
  </si>
  <si>
    <t>Equities</t>
  </si>
  <si>
    <t>The underlying instrument is Class B common stock/common shares.</t>
  </si>
  <si>
    <t>We have served as the Company's auditor since 2023.</t>
  </si>
  <si>
    <t>Reviewed official and RWA pages did not identify Chainlink PoR, an oracle feed, or other on-chain proof of backing.</t>
  </si>
  <si>
    <t>No explicit on-chain proof-of-backing statement located in reviewed documentation.</t>
  </si>
  <si>
    <t>https://www.exodus.com/investors/sec-filings/all-sec-filings/content/0001821534-26-000009/exod-20251231.htm</t>
  </si>
  <si>
    <t>Reviewed official docs and token listings did not explicitly state EXODB decimal precision or whether fractional units are supported.</t>
  </si>
  <si>
    <t>No explicit EXODB divisibility or decimals statement located in reviewed documentation.</t>
  </si>
  <si>
    <t>Class B common stock has no redemption or sinking fund provisions; conversion is not a redemption mechanism.</t>
  </si>
  <si>
    <t>no redemption or sinking fund provisions</t>
  </si>
  <si>
    <t>The official securities description discusses retirement of converted shares, but not EXODB token burn mechanics.</t>
  </si>
  <si>
    <t>converted into shares of Class A common stock are retired</t>
  </si>
  <si>
    <t>Official common stock token documentation says transfers require approved accounts and Securitize whitelisting.</t>
  </si>
  <si>
    <t>requires both the sender and receiver to be on the Securitize whitelist</t>
  </si>
  <si>
    <t>https://www.exodus.com/investors/sec-filings/all-sec-filings/content/0001140361-24-047915/ny20031698x9_1012ga.htm</t>
  </si>
  <si>
    <t>Arbitrum</t>
  </si>
  <si>
    <t>RWA.xyz identifies EXODB network as Arbitrum and token standard as ERC-20.</t>
  </si>
  <si>
    <t>Arbitrum | Native | ERC-20</t>
  </si>
  <si>
    <t>None (price appreciation only)</t>
  </si>
  <si>
    <t>Exodus states it has never paid cash dividends and does not intend to pay cash dividends in the foreseeable future.</t>
  </si>
  <si>
    <t>do not intend to pay any cash dividends in the foreseeable future</t>
  </si>
  <si>
    <t>Because no current yield is documented, no token-level yield distribution method was identified.</t>
  </si>
  <si>
    <t>Capped (27,500,000 Class B common stock authorized)</t>
  </si>
  <si>
    <t>Official securities description caps authorized Class B common stock at 27,500,000 shares.</t>
  </si>
  <si>
    <t>27,500,000 shares of Class B common stock</t>
  </si>
  <si>
    <t>Reviewed documentation did not explicitly describe supported EXODB DeFi integrations or collateral use.</t>
  </si>
  <si>
    <t>No explicit EXODB DeFi integration statement located in reviewed documentation.</t>
  </si>
  <si>
    <t>Token issuance/maintenance; transfer permissioning; peer-to-peer transfer</t>
  </si>
  <si>
    <t>Official common stock token documents describe Securitize DS Protocol tokens and smart-contract transfer restrictions.</t>
  </si>
  <si>
    <t>program compliance-related transfer restrictions ... onto smart contracts</t>
  </si>
  <si>
    <t xml:space="preserve"> Protocol fees</t>
  </si>
  <si>
    <t>No protocol fees disclosed / 0% subscription, redemption, management, performance fees</t>
  </si>
  <si>
    <t>Performance Fees 0%</t>
  </si>
  <si>
    <t>Official token transfer documentation requires Securitize AML/KYC and whitelist approval.</t>
  </si>
  <si>
    <t>submitted to Securitize's AML/KYC procedures and have been whitelisted</t>
  </si>
  <si>
    <t>Theo Network thBill (thBILL)</t>
  </si>
  <si>
    <t>Panama</t>
  </si>
  <si>
    <t>Terms identify Theo Protocol Corporation as registered in Panama.</t>
  </si>
  <si>
    <t>Panama City, Republic of Panama</t>
  </si>
  <si>
    <t>https://docs.theo.xyz/legal/terms</t>
  </si>
  <si>
    <t>Direct Issuer: Corporation</t>
  </si>
  <si>
    <t>Terms identify Theo Protocol Corporation as the company operating the platform and services.</t>
  </si>
  <si>
    <t>provided and operated by Theo Protocol Corporation</t>
  </si>
  <si>
    <t>Reviewed official thBILL, iToken, and Terms pages did not state tokenholder voting rights.</t>
  </si>
  <si>
    <t>No explicit thBILL tokenholder voting statement located in reviewed official documentation.</t>
  </si>
  <si>
    <t>https://docs.theo.xyz/thbill</t>
  </si>
  <si>
    <t>The official tULTRA fact sheet names Standard Chartered Bank as custodian and MAS as regulatory body.</t>
  </si>
  <si>
    <t>Custodian | Standard Chartered Bank</t>
  </si>
  <si>
    <t>https://docs.theo.xyz/thbill/tultra</t>
  </si>
  <si>
    <t>Official thBILL docs state participants do not have claims over the underlying assets.</t>
  </si>
  <si>
    <t>Participants have no claims over underlying assets.</t>
  </si>
  <si>
    <t>Panama (CECAP arbitration)</t>
  </si>
  <si>
    <t>Terms provide Panama governing law and CECAP arbitration in Panama for disputes.</t>
  </si>
  <si>
    <t>arbitration in Panama at the Arbitration and Settlement Centre of Panama</t>
  </si>
  <si>
    <t>synthetic exposure (case for derivatives: no direct claim)</t>
  </si>
  <si>
    <t>thBILL gives economic exposure while the official docs disclaim participant claims over underlying assets.</t>
  </si>
  <si>
    <t>thBILL functions as a foundational, yield-bearing component... Upon redemption, the equivalent value of the redeemed thBILL is returned in USDC.</t>
  </si>
  <si>
    <t>Official thBILL docs describe institutional-grade tokenized U.S. Treasury bills.</t>
  </si>
  <si>
    <t>tokenized U.S. Treasury bills</t>
  </si>
  <si>
    <t>Official audit page covers smart contract audits; no official external backing/asset audit was found.</t>
  </si>
  <si>
    <t>An overview of smart contract audits is provided below</t>
  </si>
  <si>
    <t>https://docs.theo.xyz/audits</t>
  </si>
  <si>
    <t>Official iToken docs state pricing uses oracle data for supported assets.</t>
  </si>
  <si>
    <t>Pricing is calculated onchain using oracle data</t>
  </si>
  <si>
    <t>https://docs.theo.xyz/technical-reference/ttokens-and-itokens/itokens</t>
  </si>
  <si>
    <t>On-chain token page reports six decimals for the thBILL ERC-20.</t>
  </si>
  <si>
    <t>https://etherscan.io/token/0x5FA487BCa6158c64046B2813623e20755091DA0b</t>
  </si>
  <si>
    <t>Official thBILL docs state redemptions return equivalent value in USDC.</t>
  </si>
  <si>
    <t>returned in USDC</t>
  </si>
  <si>
    <t>Official thBILL documentation confirms redemption but did not explicitly state token burn on redemption.</t>
  </si>
  <si>
    <t>Official announcement</t>
  </si>
  <si>
    <t>Liquidity provision through integrated market making across multiple venues</t>
  </si>
  <si>
    <t>https://theo.xyz/articles/thbill-is-live-theo-s-institutional-grade-tokenized-money-market-fund</t>
  </si>
  <si>
    <t>Ethereum; Arbitrum; Base; HyperEVM</t>
  </si>
  <si>
    <t>Official deployment and user guide pages list supported thBILL networks.</t>
  </si>
  <si>
    <t>available on Ethereum, Arbitrum, Base, and HyperEVM</t>
  </si>
  <si>
    <t>https://docs.theo.xyz/resources/addresses</t>
  </si>
  <si>
    <t>Estimated Returns: US interest rate less fees</t>
  </si>
  <si>
    <t>Exchange Rate: Aggregate value of underlying assets as determined by oracles</t>
  </si>
  <si>
    <t>thBILL ... Network ... Contract Address ... Ethereum</t>
  </si>
  <si>
    <t>Collateral in lending (protocols not specified); Other (DEX trading, derivative markets)</t>
  </si>
  <si>
    <t>Official launch article states thBILL can be used as collateral and is integrated with lending and derivative markets.</t>
  </si>
  <si>
    <t>Use thBILL as collateral</t>
  </si>
  <si>
    <t>Minting/redemption; basket composition enforcement; oracle pricing; cross-chain bridging</t>
  </si>
  <si>
    <t>Official docs state thBILL uses iToken standard, deployments include OFT, and pricing uses oracle data.</t>
  </si>
  <si>
    <t>iToken standard, which enforces the composition of the basket</t>
  </si>
  <si>
    <t>Reviewed official thBILL, user guide, and Terms pages did not disclose a thBILL protocol fee schedule.</t>
  </si>
  <si>
    <t>No explicit thBILL protocol fee schedule located in reviewed official documentation.</t>
  </si>
  <si>
    <t>Institutional only; KYC gated</t>
  </si>
  <si>
    <t>Official docs require KYC for mint/redeem and direct institutions or market makers to contact Theo.</t>
  </si>
  <si>
    <t>can only be minted and redeemed by users who have passed KYC</t>
  </si>
  <si>
    <t>Fidelity Digital Interest Token (FDIT)</t>
  </si>
  <si>
    <t>SEC filing identifies Fidelity Hereford Street Trust with Massachusetts business address and Delaware state of incorporation.</t>
  </si>
  <si>
    <t>STATE OF INCORPORATION: DE</t>
  </si>
  <si>
    <t>https://www.sec.gov/Archives/edgar/data/917286/000113322825007435/0001133228-25-007435.txt</t>
  </si>
  <si>
    <t>The SAI identifies the fund as part of Fidelity Hereford Street Trust, a Delaware statutory trust.</t>
  </si>
  <si>
    <t>statutory trust organized under Delaware law</t>
  </si>
  <si>
    <t>SAI states shareholders have voting rights based on net asset value owned. But Tokenholders do not</t>
  </si>
  <si>
    <t>Shareholders are entitled to one vote for each dollar of net asset value they own, but not for tokenholders</t>
  </si>
  <si>
    <t>SAI names BNY Mellon as custodian responsible for safekeeping fund assets.</t>
  </si>
  <si>
    <t>The Bank of New York Mellon ... is custodian of the assets of the fund.</t>
  </si>
  <si>
    <t>The trust/fund allocates share-sale proceeds and income as underlying assets of the fund.</t>
  </si>
  <si>
    <t>constitute the underlying assets of such fund</t>
  </si>
  <si>
    <t>Reviewed official prospectus and SAI did not state a dispute forum for tokenholders.</t>
  </si>
  <si>
    <t>SAI states shareholders have fund shares and each fund's underlying assets are allocated to that fund.</t>
  </si>
  <si>
    <t>shareholders of a fund shall not have a claim on ... assets belonging to any other fund</t>
  </si>
  <si>
    <t>Prospectus confirms redemption, dividend distributions, and SAI confirms shareholder voting.</t>
  </si>
  <si>
    <t>You may purchase or redeem OnChain class shares of the fund at any time</t>
  </si>
  <si>
    <t>https://www.sec.gov/Archives/edgar/data/917286/000113322825007437/ftdf-efp16750_497k.htm</t>
  </si>
  <si>
    <t>Prospectus states the fund invests almost entirely in cash and U.S. Treasury securities.</t>
  </si>
  <si>
    <t>Normally investing at least 99.5% of total assets in cash and U.S. Treasury securities.</t>
  </si>
  <si>
    <t>Yes; annual; https://www.sec.gov/Archives/edgar/data/917286/000113322825007435/0001133228-25-007435.txt</t>
  </si>
  <si>
    <t>SEC filing includes PwC consent for the certified shareholder report containing audited financial statements.</t>
  </si>
  <si>
    <t>our report dated June 11, 2025, relating to the financial statements</t>
  </si>
  <si>
    <t>Official documents describe secondary blockchain recordkeeping but did not verify on-chain proof of reserves or asset backing.</t>
  </si>
  <si>
    <t>No explicit on-chain proof-of-reserves or asset-backing statement located.</t>
  </si>
  <si>
    <t>Etherscan reports a divisible ERC-20 token; prospectus also references fractional shares.</t>
  </si>
  <si>
    <t xml:space="preserve">Token Contract </t>
  </si>
  <si>
    <t>https://etherscan.io/token/0x48ab4e39ac59f4e88974804b04a991b3a402717f</t>
  </si>
  <si>
    <t>Prospectus states shares are sold/redeemed at NAV; fully redeemed shareholders are paid in U.S. dollars for monthly dividends.</t>
  </si>
  <si>
    <t>The price to sell one share is its NAV.</t>
  </si>
  <si>
    <t>Reviewed official prospectus, SAI, and token page did not explicitly state FDIT is burned on redemption.</t>
  </si>
  <si>
    <t>Prospectus states only transfer-agent-created and approved wallets may purchase, redeem, and hold shares.</t>
  </si>
  <si>
    <t>Only wallets that are created and approved by the transfer agent are authorized</t>
  </si>
  <si>
    <t>Prospectus states the OnChain class currently uses Ethereum.</t>
  </si>
  <si>
    <t>currently uses the Ethereum network as the public blockchain</t>
  </si>
  <si>
    <t>Prospectus states income/yield comes from investments, primarily Treasury securities and cash.</t>
  </si>
  <si>
    <t>The fund earns interest, dividends, and other income from its investments</t>
  </si>
  <si>
    <t>Prospectus states net investment income dividends are declared daily and paid monthly.</t>
  </si>
  <si>
    <t>declares dividends of net investment income daily and pays them monthly</t>
  </si>
  <si>
    <t>Reviewed official prospectus, SAI, and token page did not state a predetermined maximum supply cap.</t>
  </si>
  <si>
    <t>No explicit predetermined supply cap statement located in reviewed official documentation.</t>
  </si>
  <si>
    <t>None</t>
  </si>
  <si>
    <t>Prospectus says there is no current agreement for secondary-market trading.</t>
  </si>
  <si>
    <t>has no current agreement to make OnChain class shares available for trading in a secondary market</t>
  </si>
  <si>
    <t>Share ownership recordkeeping; issuance/redemption recording; transfer permissioning</t>
  </si>
  <si>
    <t>Prospectus says blockchain stores issuance/redemption and ownership history; Etherscan identifies a compliance ERC-20.</t>
  </si>
  <si>
    <t>issuance and redemption data ... will be exposed to the public</t>
  </si>
  <si>
    <t>Prospectus states a 0.25% management fee and no shareholder fees.</t>
  </si>
  <si>
    <t>Management fee 0.25%</t>
  </si>
  <si>
    <t>Prospectus limits shares to certain institutional investors and requires AML/KYC information.</t>
  </si>
  <si>
    <t>Shares are offered to certain institutional investors</t>
  </si>
  <si>
    <t>EUTBL by Spiko (EUTBL)</t>
  </si>
  <si>
    <t>France</t>
  </si>
  <si>
    <t>Prospectus identifies SPIKO SICAV as incorporated in France under French law.</t>
  </si>
  <si>
    <t>SICAV ... incorporated in France under French law</t>
  </si>
  <si>
    <t>https://cdn.spiko.finance/legal_docs/EN/Prospectus_Spiko_SICAV_EN.pdf</t>
  </si>
  <si>
    <t>Prospectus describes SPIKO SICAV as an open-ended investment company with sub-funds; KID states the product is separate from the management company.</t>
  </si>
  <si>
    <t>Open-Ended Investment Company with Sub-Funds</t>
  </si>
  <si>
    <t>Official prospectus</t>
  </si>
  <si>
    <t>Each shareholder has one vote for each share held.</t>
  </si>
  <si>
    <t>Prospectus names CACEIS Bank as depositary-custodian and describes its regulatory authorization and safekeeping duties.</t>
  </si>
  <si>
    <t>CACEIS Bank ... A credit institution authorized by CECEI</t>
  </si>
  <si>
    <t>Underlying assets are held within the SICAV/sub-fund structure; shareholders hold proportional rights in the UCITS assets.</t>
  </si>
  <si>
    <t>Each shareholder has an ownership right on the assets ... proportional to the number of shares held.</t>
  </si>
  <si>
    <t>France (competent courts)</t>
  </si>
  <si>
    <t>Articles of Association submit corporate disputes to competent courts under applicable law.</t>
  </si>
  <si>
    <t>shall be judged in accordance with the law and submitted to the jurisdiction of the competent courts</t>
  </si>
  <si>
    <t>Prospectus states shareholders have ownership rights proportional to shares held.</t>
  </si>
  <si>
    <t>ownership right on the assets ... proportional to the number of shares held</t>
  </si>
  <si>
    <t>Redemption right; Interest entitlement; Governance/voting</t>
  </si>
  <si>
    <t>Prospectus/KID evidence redemption, capitalized returns, and voting rights.</t>
  </si>
  <si>
    <t>Subscription requests ... and redemption requests ... are centralized by the Management Company</t>
  </si>
  <si>
    <t>https://cdn.spiko.finance/legal_docs/EN/KID_EUTBL_EN.pdf</t>
  </si>
  <si>
    <t>Official product page states the fund invests in Treasury Bills from core Eurozone countries.</t>
  </si>
  <si>
    <t>Treasury Bills from core Eurozone countries</t>
  </si>
  <si>
    <t>https://www.spiko.io/spiko-treasury-bills-euro</t>
  </si>
  <si>
    <t>Yes; four audits annually; https://www.spiko.io/spiko-treasury-bills-euro</t>
  </si>
  <si>
    <t>Official product page names PwC as statutory auditor and states the audit frequency.</t>
  </si>
  <si>
    <t>PwC ... conducts four audits annually</t>
  </si>
  <si>
    <t>Spiko technical blog states NAV is published on-chain through a Chainlink-compatible oracle feed.</t>
  </si>
  <si>
    <t>publish the NAV directly on-chain ... Chainlink's standard AggregatorInterfaceV3</t>
  </si>
  <si>
    <t>https://tech.spiko.io/posts/spiko-smart-contracts/</t>
  </si>
  <si>
    <t>Prospectus states subscriptions and redemptions can be made in hundred-thousandths of a share.</t>
  </si>
  <si>
    <t>Subscriptions are made in hundred-thousandths of a share</t>
  </si>
  <si>
    <t>Spiko technical blog states redemption requests may settle in fiat or stablecoins.</t>
  </si>
  <si>
    <t>investors specify whether they wish to receive fiat or stablecoins</t>
  </si>
  <si>
    <t>Spiko technical blog states the redemption contract burns tokens it holds.</t>
  </si>
  <si>
    <t>the contract burns all tokens it holds</t>
  </si>
  <si>
    <t>Prospectus states shares can only be held by and transferred between allowlisted addresses.</t>
  </si>
  <si>
    <t>can only be held by and transferred between investors with an Allowlisted address</t>
  </si>
  <si>
    <t>Ethereum; Polygon PoS; Arbitrum One; Starknet; Base; Etherlink; Stellar</t>
  </si>
  <si>
    <t>Prospectus lists the DLTs used for the shareholder register.</t>
  </si>
  <si>
    <t>Ethereum, Polygon PoS, Arbitrum One, Starknet, Base, Etherlink, and Stellar</t>
  </si>
  <si>
    <t>Official page states net yield fluctuates with Treasury Bill yields.</t>
  </si>
  <si>
    <t>It fluctuates depending on Treasury Bills yields.</t>
  </si>
  <si>
    <t>Prospectus states distributable income and gains are capitalized, not separately distributed.</t>
  </si>
  <si>
    <t>Allocation of net income: Capitalization</t>
  </si>
  <si>
    <t>Articles state share capital changes through issuance of new shares and reductions from repurchases; no fixed cap is stated.</t>
  </si>
  <si>
    <t>share capital is subject to change because of the issuance of new shares</t>
  </si>
  <si>
    <t>Collateral in lending (Morpho; SG Forge EURCV/USDCV)</t>
  </si>
  <si>
    <t>Spiko blog states EUTBL/USTBL can be used as collateral to borrow SG Forge stablecoins through Morpho.</t>
  </si>
  <si>
    <t>using EUTBL or USTBL ... as collateral</t>
  </si>
  <si>
    <t>https://www.spiko.io/blog/spiko-morpho-sg-forge?refer=AE3136BFD9</t>
  </si>
  <si>
    <t>Share register/token issuance; transfer permissioning; NAV oracle; redemption/burn; cross-chain interoperability</t>
  </si>
  <si>
    <t>Spiko technical posts describe token shares, allowlist permissioning, on-chain NAV oracle, redemption/burn flow, and Chainlink CCIP cross-chain plans.</t>
  </si>
  <si>
    <t>Only allowlisted addresses ... can hold Spiko tokens</t>
  </si>
  <si>
    <t>management fee; DLT transaction fees; operating expenses; wallet remediation fee</t>
  </si>
  <si>
    <t>management fee plus DLT transaction fees, operating expenses, and possible wallet remediation fee.</t>
  </si>
  <si>
    <t>Management fees Net assets 0.30% incl. tax, transaction fees linked to the DLT selected</t>
  </si>
  <si>
    <t>Spiko technical blog states only allowlisted addresses that passed KYC checks can hold Spiko tokens.</t>
  </si>
  <si>
    <t>Only allowlisted addresses - those that have passed the required KYC checks - can hold Spiko tokens.</t>
  </si>
  <si>
    <t>Spiko US T-Bills Money Market Fund (USTBL)</t>
  </si>
  <si>
    <t>incorporated in France under French law</t>
  </si>
  <si>
    <t>Each Sub-Fund issues a class of shares representing the SICAV assets allocated to it.</t>
  </si>
  <si>
    <t>Prospectus states the sub-fund operates under French law and Articles submit corporate disputes to competent courts.</t>
  </si>
  <si>
    <t>The Sub-Fund operates under French law.</t>
  </si>
  <si>
    <t>ownership right ... proportional to the number of shares held</t>
  </si>
  <si>
    <t>Prospectus/KID evidence redemption, fully reinvested distributable sums, and voting rights.</t>
  </si>
  <si>
    <t>Distributable sums ... are fully reinvested.</t>
  </si>
  <si>
    <t>Official product page and prospectus state the fund invests in U.S. Treasury Bills.</t>
  </si>
  <si>
    <t>short-term U.S. Treasury bills</t>
  </si>
  <si>
    <t>https://www.spiko.io/spiko-treasury-bills-dollar</t>
  </si>
  <si>
    <t>Yes; four audits annually; https://www.spiko.io/spiko-treasury-bills-dollar</t>
  </si>
  <si>
    <t>PwC ... carries out four audits annually</t>
  </si>
  <si>
    <t>publish the NAV directly on-chain</t>
  </si>
  <si>
    <t>receive fiat or stablecoins</t>
  </si>
  <si>
    <t>Prospectus states USTBL shares may transfer only if the purchaser has a prior allowlisted address.</t>
  </si>
  <si>
    <t>provided that the purchaser has an address that has previously undergone Allowlisting</t>
  </si>
  <si>
    <t>Prospectus lists the DLTs used for the USTBL shareholder register.</t>
  </si>
  <si>
    <t>KID describes performance linked to Fed Funds and investments in high-quality U.S. government money market instruments.</t>
  </si>
  <si>
    <t>steady performance in line with the capitalized Fed Funds index</t>
  </si>
  <si>
    <t>https://cdn.spiko.finance/legal_docs/EN/KID_USTBL_EN.pdf</t>
  </si>
  <si>
    <t>Prospectus states distributable sums are fully reinvested/capitalized rather than separately distributed.</t>
  </si>
  <si>
    <t>Articles state capital changes through issuance and repurchase of shares; no fixed supply cap is stated.</t>
  </si>
  <si>
    <t>Collateral in lending (Morpho; SG Forge USDCV)</t>
  </si>
  <si>
    <t>Spiko blog states USTBL can be posted as collateral to borrow USDCV through Morpho.</t>
  </si>
  <si>
    <t>$100 of USTBL posted as collateral</t>
  </si>
  <si>
    <t>six key smart contracts ... support the lifecycle of tokenized financial instruments</t>
  </si>
  <si>
    <t>Only allowlisted addresses ... passed the required KYC checks</t>
  </si>
  <si>
    <t>SEC filing distinguishes the legal rights of Class A common stock from the Common Stock Tokens; the tokens themselves carry no governance rights. Corporate shareholder voting exists, but no token/protocol governance mechanism is explicitly verified.</t>
  </si>
  <si>
    <t>EXODB/Common Stock Tokens are digital markers tied to transfer-agent records of Class A common stock, not tokens backed by a separately custodied underlying asset. Securitize is the SEC-registered transfer agent, not an underlying-asset custodian.</t>
  </si>
  <si>
    <t>Deloitte audits Exodus financial statements, but the reviewed filing does not explicitly verify a third-party audit/attestation of EXODB token backing or token-share reconciliation for this taxonomy attribute.</t>
  </si>
  <si>
    <t xml:space="preserve"> Theo identifies the basket component as U.S. Treasury securities/repos/cash with estimated returns equal to the U.S. interest rate less fees.</t>
  </si>
  <si>
    <t>Theo's launch materials describe integrated market making, multichain accessibility, and DeFi/secondary-market use. No issuer transfer restriction was identified in the reviewed current docs.</t>
  </si>
  <si>
    <t xml:space="preserve"> thBILL is described as yield-bearing and redeemable for equivalent value in USDC, while participants have no claim over underlying assets.</t>
  </si>
  <si>
    <t xml:space="preserve"> Current deployment documentation lists thBILL contract deployments, but no explicit capped/uncapped supply statement was located in the reviewed official docs.</t>
  </si>
  <si>
    <t xml:space="preserve"> Spiko's prospectus states that each shareholder has one vote per share, but this is ordinary SICAV shareholder voting. No separate tokenholder/protocol governance mechanism is explicitly verified.</t>
  </si>
  <si>
    <t>Spiko's prospectus states that each shareholder has one vote per share, but this is ordinary SICAV shareholder voting. No separate tokenholder/protocol governance mechanism is explicitly verified.</t>
  </si>
  <si>
    <t>1</t>
  </si>
  <si>
    <t>Tether Gold (XAUt)</t>
  </si>
  <si>
    <t>El Salvador</t>
  </si>
  <si>
    <t>Issuer is incorporated under El Salvador law.</t>
  </si>
  <si>
    <t>a company incorporated and in effect under the Laws of El Salvador</t>
  </si>
  <si>
    <t>https://gold.tether.to/Relevant%20Information%20Document%20-%20TG%20Commodities%2C%20S.A.%20de%20C.V.%20%28ENG%29.pdf</t>
  </si>
  <si>
    <t>Direct Issuer: SA de C.V.</t>
  </si>
  <si>
    <t>TG Commodities is the issuing and redeeming entity.</t>
  </si>
  <si>
    <t>TG Commodities is the customer-facing entity that issues and redeems Tether Gold Tokens</t>
  </si>
  <si>
    <t>The official RID describes XAUt as an issuer-managed, gold-backed ERC-20 token and does not disclose any token-holder governance or voting mechanism.</t>
  </si>
  <si>
    <t>RID: each token represents an interest in one fine troy ounce of LBMA gold; TG Commodities issues/redeems; XAUt is ERC-20 on Ethereum. No voting or governance voting process is disclosed in the reviewed official source.</t>
  </si>
  <si>
    <t>Vault storage (physical assets)</t>
  </si>
  <si>
    <t>Gold reserves are stored in a Swiss vault.</t>
  </si>
  <si>
    <t>The Gold Reserves are held by the custodian in a vault in Switzerland</t>
  </si>
  <si>
    <t>Gold reserves are held by a custodian on behalf of holders.</t>
  </si>
  <si>
    <t>the Gold Reserves are held by a custodian on behalf of XAU₮ holders</t>
  </si>
  <si>
    <t>CPR Arbitration; BVI law</t>
  </si>
  <si>
    <t>RID states BVI law and CPR arbitration.</t>
  </si>
  <si>
    <t>shall be governed by the Laws of the BVI and will be subject to and finally resolved by confidential, binding arbitration</t>
  </si>
  <si>
    <t>Each token represents ownership of one fine troy ounce on a specific bar.</t>
  </si>
  <si>
    <t>represent ownership of an undivided specific interest in one fine troy ounce of gold</t>
  </si>
  <si>
    <t>Redemption right</t>
  </si>
  <si>
    <t>Verified customers can redeem for physical delivery or sale proceeds.</t>
  </si>
  <si>
    <t>If a KYC Verified Customer wishes to redeem their Tether Gold Tokens</t>
  </si>
  <si>
    <t>Commodity (GOLD)</t>
  </si>
  <si>
    <t>Underlying asset is physical gold.</t>
  </si>
  <si>
    <t>one fine troy ounce of gold</t>
  </si>
  <si>
    <t>Yes; quarterly; https://tether.to/en/transparency</t>
  </si>
  <si>
    <t>RID says gold reserve reports and independent auditors’ reports are prepared quarterly.</t>
  </si>
  <si>
    <t>we will publish reports on the Gold Reserves quarterly</t>
  </si>
  <si>
    <t>other</t>
  </si>
  <si>
    <t>Tether Gold describes XAUt as a tokenized claim on allocated physical gold, with an issuer-run “Look-up Website” that maps on-chain addresses to specific gold bars, plus periodic reserve attestations, no on chain PoR</t>
  </si>
  <si>
    <t>we will publish reports on the Gold Reserves quarterly, that will be available on the Tether’s Transparency page https://tether.to/en/transparency (the “Transparency Page”). In addition, Independent Auditors’ Reports on those Gold Reserve reports will be prepared by an independent third party accounting rm,</t>
  </si>
  <si>
    <t>XAUt can be divided to six decimal places.</t>
  </si>
  <si>
    <t>can be fractionalized up to six decimal places</t>
  </si>
  <si>
    <t>Redemption can settle as physical delivery or sale proceeds in USD.</t>
  </si>
  <si>
    <t>physical delivery of the underlying full gold bar in Switzerland, or may request that Tether Gold attempt to sell their bullion bar</t>
  </si>
  <si>
    <t xml:space="preserve">Yes </t>
  </si>
  <si>
    <t>Upon redemption, Tether Gold removes the token from circulation; the smart-contract privilege set includes burning.</t>
  </si>
  <si>
    <t>RID lifecycle Step 7: upon redemption, Tether Gold removes the Tether Gold token from circulation. Smart contract privileged functions include minting, freezing, unfreezing, revoking and burning.</t>
  </si>
  <si>
    <t>Unrestricted with issuer freeze capability</t>
  </si>
  <si>
    <t>XAUt can circulate on-chain, but Tether Gold may freeze tokens in certain cases.</t>
  </si>
  <si>
    <t>may take steps to attempt to freeze the Tether Gold Tokens held in external wallets</t>
  </si>
  <si>
    <t>Reviewed official documents do not explicitly identify a yield source for XAUt holders.</t>
  </si>
  <si>
    <t>No explicit yield source statement located in the reviewed official documentation.</t>
  </si>
  <si>
    <t>Reviewed official documents do not explicitly describe a yield distribution method.</t>
  </si>
  <si>
    <t>No explicit yield distribution statement located in the reviewed official documentation.</t>
  </si>
  <si>
    <t>Supply changes with primary-market purchases and redemptions; the RID states that the issuance has no maximum or minimum token number for launching the services.</t>
  </si>
  <si>
    <t>RID: number of XAUt in circulation changes based on purchases and redemptions; issuance does not have any maximum or minimum number of tokens required to launch services.</t>
  </si>
  <si>
    <t>RID states XAUt is currently available only as an ERC-20 token on Ethereum.</t>
  </si>
  <si>
    <t>currently available only as an ERC-20 token on the Ethereum blockchain</t>
  </si>
  <si>
    <t>Official Alloy docs describe XAUt as collateral for Alloy by Tether.</t>
  </si>
  <si>
    <t>Alloy by Tether tokens are Tethered Assets that use Tether Gold as collateral</t>
  </si>
  <si>
    <t>https://docs.alloy.tether.to/faqs</t>
  </si>
  <si>
    <t>Token component: ERC-20 transfer/storage, circulation tracking/reporting, mint/burn/freeze/unfreeze/revoke privileged functions. Asset component: gold-bar lookup and reserve matching are supported by the product but custody and reserve operations remain off-chain. Economy component: primary purchase/redemption workflow is issuer-operated/off-chain, with on-chain token transfer/removal. Governance component: none identified.</t>
  </si>
  <si>
    <t>The DLT code primarily secures and executes the token ledger functions. Physical gold custody, customer onboarding, primary sale, and physical redemption are handled by Tether Gold/custodian processes.</t>
  </si>
  <si>
    <t>RID: Ethereum tokenization layer tracks and reports circulation and enables users to transact/store tokens; privileged functions include minting, freezing, unfreezing, revoking and burning; gold reserves are held by a custodian until redemption.</t>
  </si>
  <si>
    <t>Minting, Redemption Fees</t>
  </si>
  <si>
    <t>Direct primary purchases and redemptions carry quoted fees. No transfer tax identified in the official source reviewed.</t>
  </si>
  <si>
    <t>RID purchase section: cost equals Swiss gold market purchase cost plus a fee. Redemption section: full-bar redemptions are subject to fees and conditions.</t>
  </si>
  <si>
    <t>KYC gated</t>
  </si>
  <si>
    <t>Direct purchases and redemptions require successful KYC verification.</t>
  </si>
  <si>
    <t>KYC Verified Customers can purchase and redeem Tether Gold Tokens directly through the Tether Gold Website</t>
  </si>
  <si>
    <t>BUIDL</t>
  </si>
  <si>
    <t>SEC Form D lists the issuer as incorporated in the British Virgin Islands.</t>
  </si>
  <si>
    <t>SEC filing identifies the issuing entity as a limited company.</t>
  </si>
  <si>
    <t>Entity Type ... Other (Specify) Limited Company</t>
  </si>
  <si>
    <t>No token-holder voting system identified for the tokenized fund; BUIDL is not DAO-governed.</t>
  </si>
  <si>
    <t>The fund shares are described as non-voting participating Class A Shares issued as digital tokens; a risk assessment states BUIDL is not subject to DAO governance.</t>
  </si>
  <si>
    <t>Third-party risk assessment; official/regulatory context</t>
  </si>
  <si>
    <t>Aave/LlamaRisk: BUIDL presents non-voting, participating Class A Shares issued as digital tokens; BUIDL is not subject to DAO governance. SEC Form D identifies the issuer as BlackRock USD Institutional Digital Liquidity Fund Ltd.</t>
  </si>
  <si>
    <t>https://governance.aave.com/t/arfc-ustb-buidl-gsm/19299
https://www.sec.gov/Archives/edgar/data/2013810/000201439024000001/xslFormDX01/primary_doc.xml</t>
  </si>
  <si>
    <t>BNY Mellon is named as custodian.</t>
  </si>
  <si>
    <t>Bank of New York Mellon will serve as the custodian of the Fund's assets and its administrator</t>
  </si>
  <si>
    <t>Investors hold tokenized fund shares while the underlying fund assets are custodied by BNY Mellon.</t>
  </si>
  <si>
    <t>Bank of New York Mellon will serve as the custodian of the Fund's assets ... Securitize will act as a transfer agent and tokenization platform, managing the tokenized shares</t>
  </si>
  <si>
    <t>Delaware, Disputes resolved in New York</t>
  </si>
  <si>
    <t>Rule of law: Delaware. Disputes are to be resolved by the Supreme Court of the State of New York</t>
  </si>
  <si>
    <t>Dispute Resolution Country Delaware</t>
  </si>
  <si>
    <t>https://forum.arbitrum.foundation/t/securitize-markets-buidl-step-application/23652</t>
  </si>
  <si>
    <t>The security offered is a pooled fund interest represented as tokenized shares.</t>
  </si>
  <si>
    <t>Type(s) of Securities Offered ... Pooled Investment Fund Interests</t>
  </si>
  <si>
    <t>Redemption right; Income distribution right</t>
  </si>
  <si>
    <t>Official materials disclose both distributions and redemptions.</t>
  </si>
  <si>
    <t>reporting on Fund subscriptions, redemptions, and distributions</t>
  </si>
  <si>
    <t>The underlying exposure is U.S. Treasury debt and repo.</t>
  </si>
  <si>
    <t>The Fund invests 100% of its total assets in cash, U.S. Treasury bills, and repurchase agreements</t>
  </si>
  <si>
    <t>Yes; annual by PwC</t>
  </si>
  <si>
    <t>PwC is appointed as auditor for the year-end period.</t>
  </si>
  <si>
    <t>Auditor: PwC</t>
  </si>
  <si>
    <t>https://app.rwa.xyz/assets/BUIDL</t>
  </si>
  <si>
    <t>No explicit proof-of-reserves or similar on-chain proof mechanism was identified in the reviewed materials.</t>
  </si>
  <si>
    <t>providing instantaneous and transparent settlement</t>
  </si>
  <si>
    <t>Token supply is shown with decimal precision.</t>
  </si>
  <si>
    <t>Token Supply 1,998,788,657.94</t>
  </si>
  <si>
    <t>Primary-market base assets include both fiat and stablecoin rails.</t>
  </si>
  <si>
    <t>Base Assets USDC USD</t>
  </si>
  <si>
    <t>Yes, based on transfer-agent burn controls and observed on-chain burn events.</t>
  </si>
  <si>
    <t>Redemption workflow requires BUIDL tokens to be sent to the transfer agent/redemption wallet. The D.S. protocol role description includes token burns/freezes, and Etherscan shows Burn events for the token contract.</t>
  </si>
  <si>
    <t>Third-party risk assessment; on-chain data</t>
  </si>
  <si>
    <t>Medium-High</t>
  </si>
  <si>
    <t>Aave/LlamaRisk: transfer agent operations include token burns or freezes. Etherscan token page lists Burn transactions for the BUIDL contract. Aave/LlamaRisk also describes redemptions via Securitize or by sending BUIDL to the specified redemption wallet.</t>
  </si>
  <si>
    <t>https://governance.aave.com/t/arfc-ustb-buidl-gsm/19299
https://etherscan.io/address/0x7712c34205737192402172409a8f7ccef8aa2aec</t>
  </si>
  <si>
    <t>Transfers are allowed only to approved or whitelisted counterparties.</t>
  </si>
  <si>
    <t>Investors can transfer their tokens 24/7/365 to other pre-approved investors</t>
  </si>
  <si>
    <t>Yield comes from cash-equivalent government instruments and repo.</t>
  </si>
  <si>
    <t>Yield is paid as additional BUIDL tokens to holders' wallets.</t>
  </si>
  <si>
    <t>Uncapped / dynamic; no fixed maximum token supply identified.</t>
  </si>
  <si>
    <t>Supply expands/contracts with subscriptions, redemptions and in-kind yield distributions. The SEC Form D states an indefinite offering amount and remaining amount; the Arbitrum STEP application states no maximum transaction size.</t>
  </si>
  <si>
    <t>Regulatory finding; Securitize/BlackRock application</t>
  </si>
  <si>
    <t>SEC Form D: total offering amount is indefinite and total remaining to be sold is indefinite. Arbitrum STEP application: no maximum transaction size; fund has no maturity date; yield distributed in-kind to blockchain addresses.</t>
  </si>
  <si>
    <t>https://www.sec.gov/Archives/edgar/data/2013810/000201439024000001/xslFormDX01/primary_doc.xml
https://forum.arbitrum.foundation/t/securitize-markets-buidl-step-application/23652</t>
  </si>
  <si>
    <t>Ethereum; Aptos; Arbitrum; Avalanche C-Chain; Optimism; Polygon; Solana; BNB Chain</t>
  </si>
  <si>
    <t>The live asset profile lists the currently deployed networks.</t>
  </si>
  <si>
    <t>Ethereum ... Solana ... BNB Chain ... Avalanche C-Chain ... Aptos ... Arbitrum ... Optimism ... Polygon</t>
  </si>
  <si>
    <t>Collateral on Crypto.com and Deribit; Tradable via UniswapX</t>
  </si>
  <si>
    <t>Securitize, the leading platform for tokenizing real-world assets, today announced that the BlackRock USD Institutional Digital Liquidity Fund (“BUIDL”), will now be accepted as collateral on two of the most active crypto exchanges in the world: Crypto.com and Deribit | Uniswap Labs and Securitize Partner to Unlock DeFi Liquidity for BlackRock’s BUIDL</t>
  </si>
  <si>
    <t>https://securitize.io/learn/press/BlackRocks-BUIDL-Tokenized-by-Securitize-Accepted-as-Collateral-on-Cryptocom-and-Deribit | https://blog.uniswap.org/unlocking-defi-liquidity-for-buidl</t>
  </si>
  <si>
    <t>Token component: ERC-20/Fungible Asset tokenized shares, whitelisted transfers, minting, burns/freezes, contract upgrades. Economy component: subscriptions/redemptions are processed by Securitize with blockchain confirmation; BUIDL&lt;&gt;USDC atomic-swap smart contract provides a secondary liquidity route; yield is distributed in-kind on-chain. Asset component: underlying cash/T-bills/repos and custody are off-chain. Governance component: none/No DAO governance.</t>
  </si>
  <si>
    <t>DLT code secures the token ledger, permissions and certain liquidity/distribution mechanics; portfolio management, custody and fund administration are off-chain through BlackRock, BNY Mellon and Securitize.</t>
  </si>
  <si>
    <t>Securitize/BlackRock application; third-party risk assessment; on-chain data</t>
  </si>
  <si>
    <t>Arbitrum STEP: Securitize is transfer agent and technology service provider creating/disbursing tokens on blockchain. Aave/LlamaRisk: roles include ISSUER for daily issuance and TRANSFER AGENT for burns/freezes; BUIDL-USDC facility uses a smart contract for 1:1 atomic swap; yield distributed to investor blockchain address.</t>
  </si>
  <si>
    <t>https://forum.arbitrum.foundation/t/securitize-markets-buidl-step-application/23652
https://governance.aave.com/t/arfc-ustb-buidl-gsm/19299
https://etherscan.io/address/0x7712c34205737192402172409a8f7ccef8aa2aec</t>
  </si>
  <si>
    <t>Yield Spread.</t>
  </si>
  <si>
    <t>The fund fee is deducted from net investment income before shareholder distribution; third-party market data lists subscription and redemption fees as zero, so the charged user-facing economic cost maps best to a yield spread/fee deducted from yield.</t>
  </si>
  <si>
    <t>Third-party risk assessment; third-party market data</t>
  </si>
  <si>
    <t>Aave/LlamaRisk: BUIDL holders are subject to a unitary fee calculated daily and deducted from net investment income before distribution. RWA.xyz lists subscription fees 0% and redemption fees 0%.</t>
  </si>
  <si>
    <t>https://governance.aave.com/t/arfc-ustb-buidl-gsm/19299
https://app.rwa.xyz/assets/BUIDL</t>
  </si>
  <si>
    <t>Official launch materials limit direct participation to qualified investors.</t>
  </si>
  <si>
    <t>BUIDL will provide qualified investors with the opportunity to earn U.S. dollar yields by subscribing to the Fund through Securitize Markets, LLC</t>
  </si>
  <si>
    <t>No voting system identified.</t>
  </si>
  <si>
    <t>Yes.</t>
  </si>
  <si>
    <t>Permissionless</t>
  </si>
  <si>
    <t>Minting Fee; Redemption Fee.</t>
  </si>
  <si>
    <t>Debt Instrument (Claim as a creditor)</t>
  </si>
  <si>
    <t>PAX Gold</t>
  </si>
  <si>
    <t>Issuer is a U.S. national banking association.</t>
  </si>
  <si>
    <t>Paxos Trust Company, NA, a national banking association organized under the laws of the United States</t>
  </si>
  <si>
    <t>https://www.paxos.com/terms-and-conditions/general-terms-and-conditions</t>
  </si>
  <si>
    <t>Direct Issuer: N.A.</t>
  </si>
  <si>
    <t>PAX Gold is managed by Paxos Trust Company, N.A.</t>
  </si>
  <si>
    <t>gold denominated and backed token managed by Paxos Trust Company, NA</t>
  </si>
  <si>
    <t>https://www.paxos.com/terms-and-conditions/pax-gold-terms-conditions</t>
  </si>
  <si>
    <t>Official PAXG terms describe asset ownership, ERC-20 transferability, conversion and Paxos control rights; no holder governance or voting system is disclosed.</t>
  </si>
  <si>
    <t>PAXG terms: PAXG can be transferred, traded, kept, used for payment, or converted with Paxos; each token equals one fine troy ounce of London Good Delivery gold. No governance voting process is disclosed in the reviewed terms.</t>
  </si>
  <si>
    <t>Backing gold is stored in LBMA vaults in London.</t>
  </si>
  <si>
    <t>Each Pax Gold (PAXG) token is backed by one fine troy ounce of gold, stored in LBMA vaults in London</t>
  </si>
  <si>
    <t>https://www.paxos.com/pax-gold</t>
  </si>
  <si>
    <t>Terms describe beneficial ownership of allocated gold rather than direct legal title.</t>
  </si>
  <si>
    <t>you will become the beneficial owner of those tokens and the underlying allocated gold</t>
  </si>
  <si>
    <t>Binding arbitration; New York law</t>
  </si>
  <si>
    <t>Disputes involving Paxos Trust customers are arbitrated in New York under New York law.</t>
  </si>
  <si>
    <t>customers of Paxos Trust by arbitration in New York, New York ... governed by the laws of the State of New York</t>
  </si>
  <si>
    <t>Terms characterize PAXG as a warehouse receipt for a pro-rata portion of allocated gold.</t>
  </si>
  <si>
    <t>representing your beneficial ownership of a pro rata portion of Allocated Gold</t>
  </si>
  <si>
    <t>Holders can convert or redeem PAXG into USD, unallocated gold, or allocated gold.</t>
  </si>
  <si>
    <t>convert PAXG for US dollars, Unallocated Gold, and Allocated Gold</t>
  </si>
  <si>
    <t>Each PAXG token is equal to one fine troy ounce of London Good Delivery gold</t>
  </si>
  <si>
    <t>Yes; monthly; https://www.paxos.com/paxg-transparency</t>
  </si>
  <si>
    <t>Paxos publishes monthly attestation reports from an independent accounting firm.</t>
  </si>
  <si>
    <t>Paxos publishes attestation reports each month</t>
  </si>
  <si>
    <t>https://www.paxos.com/paxg-transparency</t>
  </si>
  <si>
    <t>Other (Lookup tool)</t>
  </si>
  <si>
    <t>Paxos provides an address-based gold allocation lookup tool rather than a standard proof-of-reserves oracle.</t>
  </si>
  <si>
    <t>Use this tool to lookup the serial number and information about your gold</t>
  </si>
  <si>
    <t>Official materials explicitly state fractional ownership of physical bars.</t>
  </si>
  <si>
    <t>Customers are able to have fractional ownership of physical bars. Page 8 Whitepaper</t>
  </si>
  <si>
    <t>PAXG can be redeemed into USD, unallocated gold, or allocated gold.</t>
  </si>
  <si>
    <t>Paxos charges destruction fees when users sell/redeem/convert PAXG through Paxos; this indicates tokens are destroyed in redemption/sale flows.</t>
  </si>
  <si>
    <t>Paxos fee page: creation and destruction fees are charged to process creation and destruction of PAXG tokens, including conversions to or from USD, gold bars, or unallocated gold.</t>
  </si>
  <si>
    <t>https://help.paxos.com/hc/en-us/articles/360041903832-PAX-Gold-Fees</t>
  </si>
  <si>
    <t>PAXG is transferable and tradable, but Paxos retains contractual freeze authority.</t>
  </si>
  <si>
    <t>Once you have PAXG tokens, you can transfer them, trade them ... Paxos has the ability and the right to freeze and upgrade all PAXG tokens</t>
  </si>
  <si>
    <t>Official docs tie token economics to gold price exposure rather than an income stream.</t>
  </si>
  <si>
    <t>The value of PAXG tokens relies substantially on the value of London Good Delivery gold</t>
  </si>
  <si>
    <t>Reviewed official materials do not describe a token-level yield distribution mechanism.</t>
  </si>
  <si>
    <t>its value is tied directly to the real-time market value of that physical gold</t>
  </si>
  <si>
    <t>PAXG creation/destruction is tied to 1:1 gold backing and customer conversions. Official terms describe maintenance of a one-to-one ratio between PAXG and allocated gold, but no fixed maximum cap was identified.</t>
  </si>
  <si>
    <t>Terms: each PAXG token equals one fine troy ounce of London Good Delivery gold; purchases are converted into equivalent allocated gold to maintain a one-to-one ratio of PAXG to allocated gold.</t>
  </si>
  <si>
    <t>https://www.paxos.com/terms-and-conditions/pax-gold-terms-conditions
https://help.paxos.com/hc/en-us/articles/360041903832-PAX-Gold-Fees</t>
  </si>
  <si>
    <t>Ethereum; Solana</t>
  </si>
  <si>
    <t>Latest official supported-assets page lists both Ethereum and Solana networks for PAXG.</t>
  </si>
  <si>
    <t>PAXG (PAX Gold) | Ethereum (ERC20) Solana (SPL)</t>
  </si>
  <si>
    <t>https://help.paxos.com/hc/en-us/articles/360042296951-Supported-Cryptocurrencies</t>
  </si>
  <si>
    <t>Uniswap pools; various DEX liquidity</t>
  </si>
  <si>
    <t>Official pages mention lending-platform availability but do not explicitly verify live, taxonomy-aligned DeFi integrations or protocols. PAXG is available on Uniswpa and other DEX pools but there is no mention of its use as collateral</t>
  </si>
  <si>
    <t>PAXG will also be available on other crypto-asset exchanges, wallets, lending platforms and elsewhere within the crypto ecosystem</t>
  </si>
  <si>
    <t>https://www.paxos.com/pax-gold; https://app.uniswap.org/explore/pools/ethereum/0x9c4fe5ffd9a9fc5678cfbd93aa2d4fd684b67c4c; https://dexpaprika.com/ethereum/token/0x45804880de22913dafe09f4980848ece6ecbaf78</t>
  </si>
  <si>
    <t>Token component: ERC-20 token ledger, transfers, freeze and upgrade capabilities. Asset component: gold allocation/lookup associates tokens with allocated LBMA bars; allocation itself depends on Paxos/custody systems. Economy component: Paxos platform converts USD/unallocated gold into PAXG and PAXG into USD/unallocated/allocated gold; settlement on Ethereum for token movements. Governance component: none identified.</t>
  </si>
  <si>
    <t>DLT code secures token ownership/transfer and issuer control functions; gold custody, allocation administration and fiat/gold conversion remain platform/custodian processes.</t>
  </si>
  <si>
    <t>Terms: each PAXG token equals one fine troy ounce and represents fractional ownership of London Good Delivery gold bars held by Paxos Trust; ERC-20 smart contract can freeze and upgrade all PAXG tokens. Paxos page: on-chain Ethereum transactions settle near instantly and token holders can look up bars by Ethereum address.</t>
  </si>
  <si>
    <t>https://www.paxos.com/terms-and-conditions/pax-gold-terms-conditions
https://www.paxos.com/pax-gold</t>
  </si>
  <si>
    <t>Paxos currently states no gold storage fee, but charges creation and destruction fees for PAXG bought/sold/converted through Paxos. Destruction/redemption maps to Redemption Fee.</t>
  </si>
  <si>
    <t>Fee page: Paxos does not charge storage fees at this time; Paxos charges creation and destruction fees to process creation and destruction of PAXG tokens. Paxos page also lists custody fees as no fee.</t>
  </si>
  <si>
    <t>https://help.paxos.com/hc/en-us/articles/360041903832-PAX-Gold-Fees
https://www.paxos.com/pax-gold</t>
  </si>
  <si>
    <t>Direct primary-market purchase, conversion, and redemption are limited to verified customers.</t>
  </si>
  <si>
    <t>Only verified Customers may purchase PAXG from us or convert or redeem PAXG from us</t>
  </si>
  <si>
    <t>Governing Law</t>
  </si>
  <si>
    <t>Claim &amp; Rights</t>
  </si>
  <si>
    <t>Verification Mechanisms</t>
  </si>
  <si>
    <t>Redemption Mechanism</t>
  </si>
  <si>
    <t>Access Permissions</t>
  </si>
  <si>
    <t>Sub-Attribute</t>
  </si>
  <si>
    <t>Definition</t>
  </si>
  <si>
    <t>Country or territory where the issuing legal entity is formally incorporated/registered</t>
  </si>
  <si>
    <t>The legal structure of the issuer</t>
  </si>
  <si>
    <t>Arrangement for safekeeping of the underlying</t>
  </si>
  <si>
    <t>Who holds the legal title to the underlying?</t>
  </si>
  <si>
    <t>Rule of Law designated for dispute resolution</t>
  </si>
  <si>
    <t>What does the token represent as a legal or economic claim on the underlying?</t>
  </si>
  <si>
    <t>What does the token give to the holder as a matter of law? Better rephrased: What actionable rights or entitlements does the token grant to the holder</t>
  </si>
  <si>
    <t>The category of the real-world asset underlying the token</t>
  </si>
  <si>
    <t>Independent audit or attestation of the underlying assets by an external firm. This is not related to smart contract audit</t>
  </si>
  <si>
    <t>On-chain verifiable proof of reserves or asset backing</t>
  </si>
  <si>
    <t>Can the token be held in sub-units, and to what precision?</t>
  </si>
  <si>
    <t>What does the holder receive upon redemption?</t>
  </si>
  <si>
    <t>Is the token burned when redeemed/cancelled?</t>
  </si>
  <si>
    <t>Constraints on secondary market token movement (wallet-to-wallet transfer, exchange trading).</t>
  </si>
  <si>
    <t>What generates returns for the token holder</t>
  </si>
  <si>
    <t>How yield is delivered to token holders, if applicable</t>
  </si>
  <si>
    <t>Is the token's supply capped at a predetermined amount?</t>
  </si>
  <si>
    <t>Which functions of the project are secured, automated, executed through DLT code, and are thus on-chain?</t>
  </si>
  <si>
    <t>Blockchain(s) on which the token is actively issued and supported by the issuer</t>
  </si>
  <si>
    <t>How is the token utilized within DeFi protocols? Can it be used as Collateral?</t>
  </si>
  <si>
    <t>What type of Fees are being charged to the user by the protocol?</t>
  </si>
  <si>
    <t>Identity and eligibility requirements for acquiring tokens directly from the issuer (minting/purchasing on the PRIMARY market: directly from the issuer)</t>
  </si>
  <si>
    <t>Possible Values</t>
  </si>
  <si>
    <t>USA, BVI, Cayman Islands, Switzerland, etc</t>
  </si>
  <si>
    <t>Direct Issuer: LLC; Gmbh etc | Bankruptcy remote vehicle: SPV; Trust etc</t>
  </si>
  <si>
    <t>Yes (if so, specify if Quadratic, Single choice, Multiple selection...)</t>
  </si>
  <si>
    <t>Institutional custodian (regulated); Self-custodied by issuer; Multi-custodian; Decentralized custody; Trust arrangement; Vault storage (physical assets); N/A (for digital-native assets)</t>
  </si>
  <si>
    <t>Direct title (token holder is legal owner); Beneficial ownership (custodian holds legal title on behalf of user); SPV held; N/A</t>
  </si>
  <si>
    <t>USA (Federal courts),ICC Arbitration etc</t>
  </si>
  <si>
    <t>Direct Claim on asset; Pro-rata claim on asset (share of pooled underlying); synthetic exposure (case for derivatives: no direct claim); Debt Instrument (Claim as a creditor)</t>
  </si>
  <si>
    <t>Redemption right; Income distribution right; Interest entitlement; Governance/voting; Usage/access rights; Net profit participation; No additional rights beyond ownership</t>
  </si>
  <si>
    <t>Commodity (specify what it is); Real estate; Fixed income (government/corporate bonds); Equities; Art &amp; collectibles; Carbon credits; etc</t>
  </si>
  <si>
    <t>Yes/No; frequency; provide link</t>
  </si>
  <si>
    <t>None; Chainlink Proof of Reserve; Smart contract oracle feed; Other</t>
  </si>
  <si>
    <t>Whole-unit only (minimum 1 token); Fractionalized</t>
  </si>
  <si>
    <t>Physical delivery (underlying asset); Cash; In-kind (other token); Combination;N/A</t>
  </si>
  <si>
    <t>Yes/No</t>
  </si>
  <si>
    <t>Unrestricted; Unrestricted with issuer freeze capability; Whitelist-restricted; Lock-up period (specify duration); Non-transferable; Conditionally restricted (specify)</t>
  </si>
  <si>
    <t>None (price appreciation only); Interest income; Rental income; Revenue share; Staking rewards; Lending interest; Dividend; Coupon payments etc</t>
  </si>
  <si>
    <t>Capped (if so, specify number), Uncapped</t>
  </si>
  <si>
    <t>Specify which Component is implemented on-chain; or N/A</t>
  </si>
  <si>
    <t>Specify Chain</t>
  </si>
  <si>
    <t>In case it's difficult to classify use YES;NO (Collateral yes/no) Otherwise:None; Collateral in lending (specify protocols); Liquidity pool (specify); Yield vault; Structured product; Staking; Options/perps underlying; Other (specify)</t>
  </si>
  <si>
    <t>Minting Fee, Redemption Fee, Custody Fee, Yield Spread, Transfer Tax, management fee</t>
  </si>
  <si>
    <t>Permissionless (anyone can join); KYC gated; Qualified investors only; Institutional only; Whitelisted only</t>
  </si>
  <si>
    <t>Preliminary info</t>
  </si>
  <si>
    <t>Date of Classification (DD-MM-YY)</t>
  </si>
  <si>
    <t>Market Cap Ranking</t>
  </si>
  <si>
    <t>Rank</t>
  </si>
  <si>
    <t>Name</t>
  </si>
  <si>
    <t>Type</t>
  </si>
  <si>
    <t>RWA Classification</t>
  </si>
  <si>
    <t>Access Model</t>
  </si>
  <si>
    <t>Category</t>
  </si>
  <si>
    <t>Asset Class</t>
  </si>
  <si>
    <t>DeFi Active TVL</t>
  </si>
  <si>
    <t>Active Marketcap</t>
  </si>
  <si>
    <t>Onchain Marketcap</t>
  </si>
  <si>
    <t>Token Price</t>
  </si>
  <si>
    <t>Issuer</t>
  </si>
  <si>
    <t>Redeemable</t>
  </si>
  <si>
    <t>Attestations</t>
  </si>
  <si>
    <t>CEX Listed</t>
  </si>
  <si>
    <t>KYC to Mint or Redeem</t>
  </si>
  <si>
    <t>KYC/Allowlisted/Whitelisted to Transfer/Hold</t>
  </si>
  <si>
    <t>Transferable</t>
  </si>
  <si>
    <t>Self Custody</t>
  </si>
  <si>
    <t>Tether Gold (XAUT)</t>
  </si>
  <si>
    <t>RWA</t>
  </si>
  <si>
    <t>Tokenized Gold &amp; Commodities</t>
  </si>
  <si>
    <t>Allocated gold token</t>
  </si>
  <si>
    <t>$178.54m</t>
  </si>
  <si>
    <t>$3.57b</t>
  </si>
  <si>
    <t>TG Commodities Limited</t>
  </si>
  <si>
    <t>BlackRock BUIDL (BUIDL)</t>
  </si>
  <si>
    <t>Permissioned</t>
  </si>
  <si>
    <t>Tokenized Funds (T-Bills, Bonds, MMFs)</t>
  </si>
  <si>
    <t>Money market fund</t>
  </si>
  <si>
    <t>$22.8m</t>
  </si>
  <si>
    <t>$2.363b</t>
  </si>
  <si>
    <t>BlackRock USD Institutional Digital Liquidity Fund Ltd.</t>
  </si>
  <si>
    <t>PAX Gold (PAXG)</t>
  </si>
  <si>
    <t>$15.54m</t>
  </si>
  <si>
    <t>$2.218b</t>
  </si>
  <si>
    <t>$2.315b</t>
  </si>
  <si>
    <t>Paxos Trust Company, LLC</t>
  </si>
  <si>
    <t>US Yield Coin (USYC)</t>
  </si>
  <si>
    <t>$37.13m</t>
  </si>
  <si>
    <t>$1.592b</t>
  </si>
  <si>
    <t>Hashnote International Short Duration Yield Fund Ltd</t>
  </si>
  <si>
    <t>Superstate USTB (USTB)</t>
  </si>
  <si>
    <t>Tokenized T-bills</t>
  </si>
  <si>
    <t>$79.64m</t>
  </si>
  <si>
    <t>$580.8m</t>
  </si>
  <si>
    <t>$755.21m</t>
  </si>
  <si>
    <t>Superstate Trust</t>
  </si>
  <si>
    <t>$18.9m</t>
  </si>
  <si>
    <t>$583.57m</t>
  </si>
  <si>
    <t>$729.1m</t>
  </si>
  <si>
    <t>WisdomTree Digital Trust</t>
  </si>
  <si>
    <t>RWA Lending / Private Credit</t>
  </si>
  <si>
    <t>Credit / corporate bond fund</t>
  </si>
  <si>
    <t>$2.55m</t>
  </si>
  <si>
    <t>$4.55m</t>
  </si>
  <si>
    <t>$721.93m</t>
  </si>
  <si>
    <t>Anemoy Capital SPC Limited</t>
  </si>
  <si>
    <t>$1.46m</t>
  </si>
  <si>
    <t>$567.69m</t>
  </si>
  <si>
    <t>Ondo OUSG (OUSG)</t>
  </si>
  <si>
    <t>$38.55m</t>
  </si>
  <si>
    <t>$463.46m</t>
  </si>
  <si>
    <t>$551.07m</t>
  </si>
  <si>
    <t>Ondo I LP</t>
  </si>
  <si>
    <t>$279.78m</t>
  </si>
  <si>
    <t>$414.95m</t>
  </si>
  <si>
    <t>RWA Yield / Wrapper</t>
  </si>
  <si>
    <t>Yield bearing RWA pool</t>
  </si>
  <si>
    <t>$283.66m</t>
  </si>
  <si>
    <t>$296.7m</t>
  </si>
  <si>
    <t>Hastra</t>
  </si>
  <si>
    <t>$221.36m</t>
  </si>
  <si>
    <t>Franklin Templeton Trust</t>
  </si>
  <si>
    <t>Mixed RWA fund</t>
  </si>
  <si>
    <t>$140.35m</t>
  </si>
  <si>
    <t>$178.39m</t>
  </si>
  <si>
    <t>$220.65m</t>
  </si>
  <si>
    <t>Superstate Asset Trust</t>
  </si>
  <si>
    <t>Tokenized Stocks &amp; Equities</t>
  </si>
  <si>
    <t>Single stock fully backed</t>
  </si>
  <si>
    <t>$214.92m</t>
  </si>
  <si>
    <t>Programmable Finance</t>
  </si>
  <si>
    <t>$51.98m</t>
  </si>
  <si>
    <t>$214.48m</t>
  </si>
  <si>
    <t>Theo Protocol Corporation</t>
  </si>
  <si>
    <t>No</t>
  </si>
  <si>
    <t>$179.36m</t>
  </si>
  <si>
    <t>Fidelity Hereford Street Trust</t>
  </si>
  <si>
    <t>$2.22m</t>
  </si>
  <si>
    <t>$172.69m</t>
  </si>
  <si>
    <t>Spiko</t>
  </si>
  <si>
    <t>$163.01m</t>
  </si>
  <si>
    <t>Spiko (Spiko SICAV sub-fund)</t>
  </si>
  <si>
    <t>Mantle Index Four Fund (MI4)</t>
  </si>
  <si>
    <t>Tokenized Crypto Funds</t>
  </si>
  <si>
    <t>Crypto index fund</t>
  </si>
  <si>
    <t>$122.38m</t>
  </si>
  <si>
    <t>Mantle Index Four</t>
  </si>
  <si>
    <t>mF-ONE (MF-ONE)</t>
  </si>
  <si>
    <t>Private credit pool</t>
  </si>
  <si>
    <t>$31.46m</t>
  </si>
  <si>
    <t>$35.99m</t>
  </si>
  <si>
    <t>$121m</t>
  </si>
  <si>
    <t>Midas Software GmbH</t>
  </si>
  <si>
    <t>Tesla xStock (TSLAx)</t>
  </si>
  <si>
    <t>$3.34m</t>
  </si>
  <si>
    <t>$52.53m</t>
  </si>
  <si>
    <t>$111.84m</t>
  </si>
  <si>
    <t>Backed Assets (JE) Limited</t>
  </si>
  <si>
    <t>Apollo Diversified Credit Securitize Fund (ACRED)</t>
  </si>
  <si>
    <t>$44.63m</t>
  </si>
  <si>
    <t>$107.18m</t>
  </si>
  <si>
    <t>Securitize Tokenized Apollo Diversified Credit Fund</t>
  </si>
  <si>
    <t>Securitize AAA CLO Tokenized Fund (STAC)</t>
  </si>
  <si>
    <t>$105.86m</t>
  </si>
  <si>
    <t>Securitize AAA CLO Tokenized Fund</t>
  </si>
  <si>
    <t>Pleasing Gold (PGOLD)</t>
  </si>
  <si>
    <t>$2.92m</t>
  </si>
  <si>
    <t>$97.56m</t>
  </si>
  <si>
    <t>Pleasing International Limited</t>
  </si>
  <si>
    <t>Onchain Yield Coin (ONyc)</t>
  </si>
  <si>
    <t>Reinsurance backed RWA pool</t>
  </si>
  <si>
    <t>$66.18m</t>
  </si>
  <si>
    <t>$95.77m</t>
  </si>
  <si>
    <t>$97.29m</t>
  </si>
  <si>
    <t>On Re SAC Ltd</t>
  </si>
  <si>
    <t>OpenEden T-Bills (TBILL)</t>
  </si>
  <si>
    <t>$94.23m</t>
  </si>
  <si>
    <t>Treasury Bills Institutional Liquidity Limited</t>
  </si>
  <si>
    <t>NVIDIA xStock (NVDAx)</t>
  </si>
  <si>
    <t>$2.34m</t>
  </si>
  <si>
    <t>$19.43m</t>
  </si>
  <si>
    <t>$81.02m</t>
  </si>
  <si>
    <t>Circle xStock (CRCLx)</t>
  </si>
  <si>
    <t>$1.27m</t>
  </si>
  <si>
    <t>$23.67m</t>
  </si>
  <si>
    <t>$78.76m</t>
  </si>
  <si>
    <t>VanEck Treasury Fund (VBILL)</t>
  </si>
  <si>
    <t>$14.12m</t>
  </si>
  <si>
    <t>$78.39m</t>
  </si>
  <si>
    <t>VanEck Treasury Fund, Ltd.</t>
  </si>
  <si>
    <t>SP500 xStock (SPYx)</t>
  </si>
  <si>
    <t>Equity index / basket token</t>
  </si>
  <si>
    <t>$2.8m</t>
  </si>
  <si>
    <t>$16.68m</t>
  </si>
  <si>
    <t>$78.25m</t>
  </si>
  <si>
    <t>Alphabet xStock (GOOGLx)</t>
  </si>
  <si>
    <t>$15.87m</t>
  </si>
  <si>
    <t>$77.22m</t>
  </si>
  <si>
    <t>Nasdaq xStock (QQQx)</t>
  </si>
  <si>
    <t>$2.99m</t>
  </si>
  <si>
    <t>$14.33m</t>
  </si>
  <si>
    <t>$76.25m</t>
  </si>
  <si>
    <t>ULTRA (ULTRA)</t>
  </si>
  <si>
    <t>$66.83m</t>
  </si>
  <si>
    <t>$67.21m</t>
  </si>
  <si>
    <t>Delta Master Trust</t>
  </si>
  <si>
    <t>Meta xStock (METAx)</t>
  </si>
  <si>
    <t>$65.21m</t>
  </si>
  <si>
    <t>MicroStrategy xStock (MSTRx)</t>
  </si>
  <si>
    <t>$65m</t>
  </si>
  <si>
    <t>Apple xStock (AAPLx)</t>
  </si>
  <si>
    <t>$5.21m</t>
  </si>
  <si>
    <t>$64.51m</t>
  </si>
  <si>
    <t>Resolv Liquidity Provider Token (RLP)</t>
  </si>
  <si>
    <t>Crypto hedge fund</t>
  </si>
  <si>
    <t>$28.58m</t>
  </si>
  <si>
    <t>$63.51m</t>
  </si>
  <si>
    <t>Resolv</t>
  </si>
  <si>
    <t>Matrixdock XAUm (XAUM)</t>
  </si>
  <si>
    <t>$2.88m</t>
  </si>
  <si>
    <t>$61.1m</t>
  </si>
  <si>
    <t>Matrix Infinitus (Hong Kong) Limited</t>
  </si>
  <si>
    <t>Alphabet Class A (Ondo Tokenized Stock) (GOOGLon)</t>
  </si>
  <si>
    <t>$59.71m</t>
  </si>
  <si>
    <t>Ondo Global Markets (BVI) Limited</t>
  </si>
  <si>
    <t>TQQQ xStock (TQQQx)</t>
  </si>
  <si>
    <t>$1.47m</t>
  </si>
  <si>
    <t>$57.37m</t>
  </si>
  <si>
    <t>Coinbase xStock (COINx)</t>
  </si>
  <si>
    <t>$4.87m</t>
  </si>
  <si>
    <t>$54.15m</t>
  </si>
  <si>
    <t>Tether Gold Tokens (XAUT0)</t>
  </si>
  <si>
    <t>$21.27m</t>
  </si>
  <si>
    <t>$52.38m</t>
  </si>
  <si>
    <t>USDT0 Network</t>
  </si>
  <si>
    <t>Eli Lilly xStock (LLYx)</t>
  </si>
  <si>
    <t>$51.36m</t>
  </si>
  <si>
    <t>Amazon xStock (AMZNx)</t>
  </si>
  <si>
    <t>$4.14m</t>
  </si>
  <si>
    <t>$50.04m</t>
  </si>
  <si>
    <t>Robinhood xStock (HOODx)</t>
  </si>
  <si>
    <t>$3.03m</t>
  </si>
  <si>
    <t>$47.25m</t>
  </si>
  <si>
    <t>Gold xStock (GLDx)</t>
  </si>
  <si>
    <t>$8.72m</t>
  </si>
  <si>
    <t>$43.61m</t>
  </si>
  <si>
    <t>Berkshire Hathaway xStock (BRK.Bx)</t>
  </si>
  <si>
    <t>$41.58m</t>
  </si>
  <si>
    <t>Home Depot xStock (HDx)</t>
  </si>
  <si>
    <t>$40.99m</t>
  </si>
  <si>
    <t>Circle Internet Group (Ondo Tokenized Stock) (CRCLon)</t>
  </si>
  <si>
    <t>$40.06m</t>
  </si>
  <si>
    <t>Honeywell xStock (HONx)</t>
  </si>
  <si>
    <t>$38.64m</t>
  </si>
  <si>
    <t>Exxon Mobil xStock (XOMx)</t>
  </si>
  <si>
    <t>$38.39m</t>
  </si>
  <si>
    <t>Mastercard xStock (MAx)</t>
  </si>
  <si>
    <t>$38.14m</t>
  </si>
  <si>
    <t>mTBILL (mTBILL)</t>
  </si>
  <si>
    <t>$37.24m</t>
  </si>
  <si>
    <t>PepsiCo xStock (PEPx)</t>
  </si>
  <si>
    <t>$37.07m</t>
  </si>
  <si>
    <t>Intel xStock (INTCx)</t>
  </si>
  <si>
    <t>$1.24m</t>
  </si>
  <si>
    <t>$36.87m</t>
  </si>
  <si>
    <t>Microsoft xStock (MSFTx)</t>
  </si>
  <si>
    <t>$1.78m</t>
  </si>
  <si>
    <t>$36.71m</t>
  </si>
  <si>
    <t>Procter &amp; Gamble xStock (PGx)</t>
  </si>
  <si>
    <t>$36.41m</t>
  </si>
  <si>
    <t>AbbVie xStock (ABBVx)</t>
  </si>
  <si>
    <t>$36.03m</t>
  </si>
  <si>
    <t>McDonald's xStock (MCDx)</t>
  </si>
  <si>
    <t>$35.88m</t>
  </si>
  <si>
    <t>Broadcom xStock (AVGOx)</t>
  </si>
  <si>
    <t>$35.78m</t>
  </si>
  <si>
    <t>Vanguard xStock (VTIx)</t>
  </si>
  <si>
    <t>$1.11m</t>
  </si>
  <si>
    <t>$35.15m</t>
  </si>
  <si>
    <t>iShares Silver Trust (Ondo Tokenized Stock) (SLVon)</t>
  </si>
  <si>
    <t>$35.14m</t>
  </si>
  <si>
    <t>Coca-Cola xStock (KOx)</t>
  </si>
  <si>
    <t>$34.83m</t>
  </si>
  <si>
    <t>Comcast xStock (CMCSAx)</t>
  </si>
  <si>
    <t>$34.77m</t>
  </si>
  <si>
    <t>T Rize (TRIZE)</t>
  </si>
  <si>
    <t>Platform</t>
  </si>
  <si>
    <t>Non-RWA (Platform)</t>
  </si>
  <si>
    <t>Tokenized Real Estate</t>
  </si>
  <si>
    <t>RWA lending market</t>
  </si>
  <si>
    <t>$34.71m</t>
  </si>
  <si>
    <t>T Rize Group</t>
  </si>
  <si>
    <t>Reental (REENTAL)</t>
  </si>
  <si>
    <t>$33.46m</t>
  </si>
  <si>
    <t>Reental</t>
  </si>
  <si>
    <t>CrowdStrike xStock (CRWDx)</t>
  </si>
  <si>
    <t>$33.36m</t>
  </si>
  <si>
    <t>Cisco xStock (CSCOx)</t>
  </si>
  <si>
    <t>$33.04m</t>
  </si>
  <si>
    <t>Thermo Fisher xStock (TMOx)</t>
  </si>
  <si>
    <t>$23.5m</t>
  </si>
  <si>
    <t>$32.64m</t>
  </si>
  <si>
    <t>Danaher xStock (DHRx)</t>
  </si>
  <si>
    <t>$31.12m</t>
  </si>
  <si>
    <t>Oracle xStock (ORCLx)</t>
  </si>
  <si>
    <t>$1.02m</t>
  </si>
  <si>
    <t>$30.88m</t>
  </si>
  <si>
    <t>International Business Machines xStock (IBMx)</t>
  </si>
  <si>
    <t>$29.96m</t>
  </si>
  <si>
    <t>Micron Technology (Ondo Tokenized Stock) (MUon)</t>
  </si>
  <si>
    <t>$27.94m</t>
  </si>
  <si>
    <t>$29.68m</t>
  </si>
  <si>
    <t>Abbott xStock (ABTx)</t>
  </si>
  <si>
    <t>$29.59m</t>
  </si>
  <si>
    <t>Accenture xStock (ACNx)</t>
  </si>
  <si>
    <t>$29.45m</t>
  </si>
  <si>
    <t>SPDR S&amp;P 500 ETF (Ondo Tokenized Stock) (SPYon)</t>
  </si>
  <si>
    <t>$27.39m</t>
  </si>
  <si>
    <t>DFDV xStock (DFDVx)</t>
  </si>
  <si>
    <t>$26.51m</t>
  </si>
  <si>
    <t>AstraZeneca xStock (AZNx)</t>
  </si>
  <si>
    <t>$23m</t>
  </si>
  <si>
    <t>Invesco QQQ (Ondo Tokenized Stock) (QQQon)</t>
  </si>
  <si>
    <t>$21.81m</t>
  </si>
  <si>
    <t>$22.7m</t>
  </si>
  <si>
    <t>iShares Core S&amp;P 500 ETF (Ondo Tokenized Stock) (IVVon)</t>
  </si>
  <si>
    <t>$15.66m</t>
  </si>
  <si>
    <t>$21.7m</t>
  </si>
  <si>
    <t>iShares 20+ Year Treasury Bond ETF (Ondo Tokenized Stock) (TLTon)</t>
  </si>
  <si>
    <t>$17.07m</t>
  </si>
  <si>
    <t>$19.17m</t>
  </si>
  <si>
    <t>ComTech Gold (CGO)</t>
  </si>
  <si>
    <t>$17.3m</t>
  </si>
  <si>
    <t>ComTech FZCO</t>
  </si>
  <si>
    <t>iShares Core MSCI EAFE ETF (Ondo Tokenized Stock) (IEFAon)</t>
  </si>
  <si>
    <t>$10.58m</t>
  </si>
  <si>
    <t>$16.85m</t>
  </si>
  <si>
    <t>Backed CSPX Core S&amp;P 500 (bCSPX)</t>
  </si>
  <si>
    <t>$7.9m</t>
  </si>
  <si>
    <t>$15.26m</t>
  </si>
  <si>
    <t>iShares Core US Aggregate Bond ETF (Ondo Tokenized Stock) (AGGon)</t>
  </si>
  <si>
    <t>$9.78m</t>
  </si>
  <si>
    <t>$14.57m</t>
  </si>
  <si>
    <t>NVIDIA (Ondo Tokenized Stock) (NVDAon)</t>
  </si>
  <si>
    <t>$14.1m</t>
  </si>
  <si>
    <t>Backed IB01 $ Treasury Bond (bIB01)</t>
  </si>
  <si>
    <t>$3.66m</t>
  </si>
  <si>
    <t>$13.77m</t>
  </si>
  <si>
    <t>iShares Gold Trust (Ondo Tokenized Stock) (IAUon)</t>
  </si>
  <si>
    <t>$13.48m</t>
  </si>
  <si>
    <t>Tesla (Ondo Tokenized Stock) (TSLAon)</t>
  </si>
  <si>
    <t>$13.07m</t>
  </si>
  <si>
    <t>Walmart xStock (WMTx)</t>
  </si>
  <si>
    <t>$12.91m</t>
  </si>
  <si>
    <t>Spiko Cash and Carry Dollar (SPKCC)</t>
  </si>
  <si>
    <t>Institutional fund</t>
  </si>
  <si>
    <t>$12.29m</t>
  </si>
  <si>
    <t>iShares TIPS Bond ETF (Ondo Tokenized Stock) (TIPon)</t>
  </si>
  <si>
    <t>$11.27m</t>
  </si>
  <si>
    <t>Backed ERNX € Ultrashort Bond (bERNX)</t>
  </si>
  <si>
    <t>$11.09m</t>
  </si>
  <si>
    <t>iShares MSCI EAFE ETF (Ondo Tokenized Stock) (EFAon)</t>
  </si>
  <si>
    <t>$3.76m</t>
  </si>
  <si>
    <t>$10.96m</t>
  </si>
  <si>
    <t>iShares Core S&amp;P Total US Stock Market ETF (Ondo Tokenized Stock) (ITOTon)</t>
  </si>
  <si>
    <t>$8.27m</t>
  </si>
  <si>
    <t>$10.33m</t>
  </si>
  <si>
    <t>Backed GOVIES 0-6 Months Euro Investment Grade (bC3M)</t>
  </si>
  <si>
    <t>$10.22m</t>
  </si>
  <si>
    <t>Visa xStock (Vx)</t>
  </si>
  <si>
    <t>$9.52m</t>
  </si>
  <si>
    <t>Re Protocol reUSDe (reUSDe)</t>
  </si>
  <si>
    <t>$8.14m</t>
  </si>
  <si>
    <t>$9.37m</t>
  </si>
  <si>
    <t>Resilience (Re Protocol)</t>
  </si>
  <si>
    <t>iShares Core MSCI Emerging Markets ETF (Ondo Tokenized Stock) (IEMGon)</t>
  </si>
  <si>
    <t>$6.81m</t>
  </si>
  <si>
    <t>$9.05m</t>
  </si>
  <si>
    <t>iShares Russell 1000 Growth ETF (Ondo Tokenized Stock) (IWFon)</t>
  </si>
  <si>
    <t>$2.93m</t>
  </si>
  <si>
    <t>$8.48m</t>
  </si>
  <si>
    <t>Backed Coinbase Global (bCOIN)</t>
  </si>
  <si>
    <t>$1.34m</t>
  </si>
  <si>
    <t>$7.54m</t>
  </si>
  <si>
    <t>iShares MSCI Emerging Markets ETF (Ondo Tokenized Stock) (EEMon)</t>
  </si>
  <si>
    <t>$2.66m</t>
  </si>
  <si>
    <t>$6.83m</t>
  </si>
  <si>
    <t>Intel (Ondo Tokenized Stock) (INTCon)</t>
  </si>
  <si>
    <t>$6.01m</t>
  </si>
  <si>
    <t>$6.21m</t>
  </si>
  <si>
    <t>Matrixdock Short-term Treasury Bill (STBT)</t>
  </si>
  <si>
    <t>$5.92m</t>
  </si>
  <si>
    <t>Matrixdock</t>
  </si>
  <si>
    <t>AMD (Ondo Tokenized Stock) (AMDon)</t>
  </si>
  <si>
    <t>$2.51m</t>
  </si>
  <si>
    <t>$5.76m</t>
  </si>
  <si>
    <t>Backed NVIDIA Corporation (bNVDA)</t>
  </si>
  <si>
    <t>$5.72m</t>
  </si>
  <si>
    <t>Hamilton Lane Senior Credit Opportunities Fund (HLSCOPE)</t>
  </si>
  <si>
    <t>$5.55m</t>
  </si>
  <si>
    <t>Hamilton Lane</t>
  </si>
  <si>
    <t>Coinbase (Ondo Tokenized Stock) (COINon)</t>
  </si>
  <si>
    <t>$5.49m</t>
  </si>
  <si>
    <t>Backed Tesla (bTSLA)</t>
  </si>
  <si>
    <t>$5.46m</t>
  </si>
  <si>
    <t>Nest Alpha Vault (NALPHA)</t>
  </si>
  <si>
    <t>RWA index / basket token</t>
  </si>
  <si>
    <t>$4.21m</t>
  </si>
  <si>
    <t>$5.38m</t>
  </si>
  <si>
    <t>Nest DAO LLC</t>
  </si>
  <si>
    <t>Grow Institutional Fund Token (GIFT)</t>
  </si>
  <si>
    <t>$5.29m</t>
  </si>
  <si>
    <t>RWAfi DAO LLC</t>
  </si>
  <si>
    <t>Asseto CASH+ (CASH+)</t>
  </si>
  <si>
    <t>$5.12m</t>
  </si>
  <si>
    <t>Asseto Finance</t>
  </si>
  <si>
    <t>Nest Institutional Vault (NINSTO)</t>
  </si>
  <si>
    <t>$5.04m</t>
  </si>
  <si>
    <t xml:space="preserve">KYC gated </t>
  </si>
  <si>
    <t>Capture whether there is a voting system for tokenholders in the protocol</t>
  </si>
  <si>
    <t>Rebase, Accrual, Distribution, Streaming, Buyback &amp; Burn, Yield Stripping. Definitions: Rebasing=token balance in the wallet is algorithmically adjusted so that accrued yield is expressed as additional token units. If yield = 5% annually, after 1 year 100 tokens will become 105 tokens. Usually each token = 1$ | Accrual= The holder's token count remains permanently fixed from the moment of deposit or purchase. Yield is captured internally by the contract as an increasing exchange rate, share price, or Net Asset Value per token. A holder who deposits 1,000 USDC and receives 1,000 vault shares will, after one year of 5% yield, still hold exactly 1,000 shares, but each share is now redeemable for $1.05 of underlying value. Yield is never explicitly paid out | Distribution= The protocol collects yield from the underlying RWA (interest, rent, invoice settlements, coupons) and transfers it to holders as a separate payment token|Streaming= Yield is transmitted to holders as a continuous, per-second (or per-block) flow rather than in discrete periodic events. | Buyback &amp; Burn = The protocol uses yield generated by the underlying RWA portfolio to purchase its own governance or utility token on the open market (via DEX swaps or OTC), then permanently destroys (burns) the purchased tokens. No yield is delivered directly to any holder in any form | Yield Stripping = A yield-bearing RWA token is decomposed into two independently tradable components: a Principal Token (PT) that entitles the holder to the face value of the underlying at a fixed maturity date, and a Yield Token (YT) that entitles the holder to all yield generated by the underlying between now and that maturity</t>
  </si>
  <si>
    <t>Fractionalizable</t>
  </si>
  <si>
    <t>burn is permanently removing tokens from circulation ... burning tokens for our tokenized funds (redemptions).</t>
  </si>
  <si>
    <t xml:space="preserve"> thBILL uses Theo's iToken standard, and iTokens use an exchange-rate model based on aggregate underlying asset value determined by oracles; this supports accrual/NAV appreciation rather than discrete distributions.</t>
  </si>
  <si>
    <t>SEC Form D lists Index Four L.P. as organized in the British Virgin Islands.</t>
  </si>
  <si>
    <t>https://www.sec.gov/Archives/edgar/data/2060423/000206042325000001/xslFormDX01/primary_doc.xml</t>
  </si>
  <si>
    <t>Official materials describe the product as a separate BVI limited partnership fund.</t>
  </si>
  <si>
    <t>Formed as a BVI Limited Partnership</t>
  </si>
  <si>
    <t>https://mantleguard.com/blog/mi4-launches-with-securitize-as-tokenization-partner-and-mantle-treasury-as-anchor-investor</t>
  </si>
  <si>
    <t>No explicit MI4 investor/tokenholder voting system was found in reviewed official sources.</t>
  </si>
  <si>
    <t>No explicit investor/tokenholder voting-system statement located.</t>
  </si>
  <si>
    <t>https://mantleguard.com/</t>
  </si>
  <si>
    <t>Self-custodied by issuer</t>
  </si>
  <si>
    <t>Official MI4 page says fund assets are self-custodied using Fireblocks.</t>
  </si>
  <si>
    <t>self-custodied via Fireblocks</t>
  </si>
  <si>
    <t>Investors receive interests in a separate fund entity tokenized on Mantle Network.</t>
  </si>
  <si>
    <t>tokenize investors' interests in the Fund</t>
  </si>
  <si>
    <t>No explicit dispute forum was found in reviewed official MI4 sources.</t>
  </si>
  <si>
    <t>No explicit dispute-forum statement located.</t>
  </si>
  <si>
    <t>SEC Form D identifies the securities as pooled investment fund interests.</t>
  </si>
  <si>
    <t>X Equity X Pooled Investment Fund Interests</t>
  </si>
  <si>
    <t>Official MI4 page lists scheduled subscriptions and redemptions.</t>
  </si>
  <si>
    <t>Redemptions &amp; Subscriptions Every Wednesday</t>
  </si>
  <si>
    <t>OTHER</t>
  </si>
  <si>
    <t>crypto index funds/digital assets as an asset type.</t>
  </si>
  <si>
    <t>BTC, ETH, SOL, USD. Major Crypto Assets</t>
  </si>
  <si>
    <t>Yes; frequency UNKNOWN; https://mantleguard.com/</t>
  </si>
  <si>
    <t>Official MI4 page lists KPMG as auditor; no audit frequency was found there.</t>
  </si>
  <si>
    <t>Auditor KPMG</t>
  </si>
  <si>
    <t>No explicit on-chain proof-of-reserves or asset-backing mechanism was found in reviewed official sources.</t>
  </si>
  <si>
    <t>No explicit on-chain proof statement located.</t>
  </si>
  <si>
    <t>No explicit token divisibility or precision statement was found in reviewed official sources.</t>
  </si>
  <si>
    <t>No explicit divisibility statement located.</t>
  </si>
  <si>
    <t>Reviewed official sources confirm redemptions but do not explicitly state the settlement form.</t>
  </si>
  <si>
    <t>No explicit redemption settlement-form statement located.</t>
  </si>
  <si>
    <t>No explicit statement was found that tokenized fund interests are burned on redemption.</t>
  </si>
  <si>
    <t>Official launch article limits tokenized interest transfers to authorized participants under private placement rules.</t>
  </si>
  <si>
    <t>transferred ... between authorized participants</t>
  </si>
  <si>
    <t>Mantle Network</t>
  </si>
  <si>
    <t>Official materials state MI4 fund interests are tokenized on Mantle Network.</t>
  </si>
  <si>
    <t>tokenize investors' interests ... on Mantle Network</t>
  </si>
  <si>
    <t>Staking rewards</t>
  </si>
  <si>
    <t>Official materials state MI4 seeks yield through staking and staked instruments.</t>
  </si>
  <si>
    <t>generate yield ... via staking</t>
  </si>
  <si>
    <t>Mantle governance proposal describes component exposure through yield-accumulating tokens.</t>
  </si>
  <si>
    <t>Official forum</t>
  </si>
  <si>
    <t>yield-accumulating tokens</t>
  </si>
  <si>
    <t>https://forum.mantle.xyz/t/passed-mip-32-mantle-enhanced-index-fund-governance-proposal/9104</t>
  </si>
  <si>
    <t>SEC Form D lists the total offering amount as indefinite.</t>
  </si>
  <si>
    <t>Other (collateral use on supported exchanges; future DeFi utilities)</t>
  </si>
  <si>
    <t>Official launch article describes collateral use on supported exchanges and future composable DeFi utility.</t>
  </si>
  <si>
    <t>collateral for leverage on supported exchanges</t>
  </si>
  <si>
    <t>Fund interest tokenization; transfer permissioning; on-chain transfer; collateral use</t>
  </si>
  <si>
    <t>Official materials describe Securitize tokenization, authorized transfers, and collateral utility.</t>
  </si>
  <si>
    <t>Fund tokenization via Securitize</t>
  </si>
  <si>
    <t>Official MI4 page states a 1.00% management fee applies and no performance fee is charged.</t>
  </si>
  <si>
    <t>A 1.00% management fee</t>
  </si>
  <si>
    <t>Official MI4 page and launch article restrict availability to qualified/accredited or non-U.S. professional investors.</t>
  </si>
  <si>
    <t>only available to certain qualified investors</t>
  </si>
  <si>
    <t>Germany</t>
  </si>
  <si>
    <t>Base Prospectus identifies Midas Software GmbH as a German limited liability company.</t>
  </si>
  <si>
    <t>Midas Software GmbH ... is a limited liability company under the laws of Germany</t>
  </si>
  <si>
    <t>https://www.mfsa.mt/wp-content/uploads/2025/08/Midas-Software-GmbH-Base-Prospectus-Document-dated-17-July-2025.pdf</t>
  </si>
  <si>
    <t>Direct Issuer: GmbH</t>
  </si>
  <si>
    <t>Base Prospectus identifies Midas Software GmbH as the issuer of products under the program.</t>
  </si>
  <si>
    <t>Midas Software GmbH ... issues transferable Blockchain-based Certificates</t>
  </si>
  <si>
    <t>No explicit tokenholder voting system was found in reviewed official Midas/mF-ONE documentation.</t>
  </si>
  <si>
    <t>https://docs.midas.app/</t>
  </si>
  <si>
    <t>No explicit custody arrangement for the mF-ONE underlying was found in reviewed official documentation.</t>
  </si>
  <si>
    <t>No explicit custody-arrangement statement located in reviewed official documentation.</t>
  </si>
  <si>
    <t>https://docs.midas.app/legal/legal-structure</t>
  </si>
  <si>
    <t>Official announcement states investors have no legal rights in the underlying assets.</t>
  </si>
  <si>
    <t>Official announcement Telegram Page</t>
  </si>
  <si>
    <t>Investors have no legal rights in the underlying assets</t>
  </si>
  <si>
    <t>https://t.me/s/midasrwa?before=191</t>
  </si>
  <si>
    <t>No explicit dispute forum specific to mF-ONE was found in reviewed official documentation.</t>
  </si>
  <si>
    <t>Base Prospectus says Midas tokens are tokenized debt instruments and tokenholder claims against Midas are qualified subordinated.</t>
  </si>
  <si>
    <t>They constitute a tokenized debt instrument under German law</t>
  </si>
  <si>
    <t>Base Prospectus states tokenholders may redeem tokens if KYC and other requirements are fulfilled.</t>
  </si>
  <si>
    <t>Each Tokenholder has the right against Midas to redeem its Token if the KYC requirements are fulfilled</t>
  </si>
  <si>
    <t>Private credit / diversified credit strategy</t>
  </si>
  <si>
    <t>Fasanara's flagship F-ONE private credit strategy</t>
  </si>
  <si>
    <t>No explicit third-party audit/attestation of mF-ONE underlying assets was found; reviewed audit page concerns smart-contract audits.</t>
  </si>
  <si>
    <t>Midas smart contracts undergo regular audits</t>
  </si>
  <si>
    <t>https://docs.midas.app/resources/audits</t>
  </si>
  <si>
    <t>Official registry lists an mFONE/USD oracle and the announcement says NAV pricing is powered by eOracle.</t>
  </si>
  <si>
    <t>mFONE/USD Oracle</t>
  </si>
  <si>
    <t>https://docs.midas.app/resources/smart-contracts-registry</t>
  </si>
  <si>
    <t>Etherscan token metadata for the officially listed token contract shows 18 decimals.</t>
  </si>
  <si>
    <t>Token Contract (WITH 18 Decimals)</t>
  </si>
  <si>
    <t>https://etherscan.io/token/0x238a700eD6165261Cf8b2e544ba797BC11e466Ba</t>
  </si>
  <si>
    <t>Base Prospectus says settlement depends on product-specific Final Terms; no mF-ONE Final Terms settlement form was located.</t>
  </si>
  <si>
    <t>depending on the product-specific Final Terms</t>
  </si>
  <si>
    <t>No explicit burn-on-redemption statement was found in reviewed official documentation.</t>
  </si>
  <si>
    <t>Eligibility docs state professional strategies require explicit wallet whitelisting, and official mF-ONE materials limit access to qualified investors.</t>
  </si>
  <si>
    <t>explicit wallet whitelisting before you can interact with the smart contracts</t>
  </si>
  <si>
    <t>https://docs.midas.app/legal/eligibility-and-compliance</t>
  </si>
  <si>
    <t>Official registry lists mF-ONE smart contracts under Ethereum.</t>
  </si>
  <si>
    <t>mf-ONE Smart Contracts ... Ethereum</t>
  </si>
  <si>
    <t>Capital Appreciation, Income Accumulation</t>
  </si>
  <si>
    <t>The Yield of a product... ; Also: Qualified investors can collateralise mF-ONE in a Morpho ...</t>
  </si>
  <si>
    <t>Midas pricing docs state the mToken value is NAV-based and fluctuates with underlying portfolio performance.</t>
  </si>
  <si>
    <t>mToken Price (NAV) = Total Value of the Underlying Portfolio / Number of mTokens outstanding</t>
  </si>
  <si>
    <t>https://docs.midas.app/transparency/pricing-of-the-mtoken</t>
  </si>
  <si>
    <t>No explicit capped or uncapped supply statement for mF-ONE was found in reviewed official documentation.</t>
  </si>
  <si>
    <t>No explicit capped/uncapped supply statement located in reviewed official documentation.</t>
  </si>
  <si>
    <t>Collateral in liquidity pool and on Morpho</t>
  </si>
  <si>
    <t>On Demand liquidity pool</t>
  </si>
  <si>
    <t>They are natively compatible ...; Also: Qualified investors can collateralise mF-ONE in a Morpho ...</t>
  </si>
  <si>
    <t>https://docs.midas.app/liquidity-and-composability/composability ; also: https://t.me/s/midasrwa?before=191</t>
  </si>
  <si>
    <t>ERC-20 token; issuance vault; redemption vault; NAV/USD oracle</t>
  </si>
  <si>
    <t>Official registry lists the mFONE token, mFONE/USD oracle, issuance vault, and redemption vault.</t>
  </si>
  <si>
    <t>mFONE Token ... mFONE/USD Oracle ... Issuance vault ... Redemption Vault</t>
  </si>
  <si>
    <t>Minting Fee; Redemption Fee</t>
  </si>
  <si>
    <t>Base Prospectus states the issuer charges issuance and redemption fees as defined in product Final Terms.</t>
  </si>
  <si>
    <t>Token Issuance Fee ... Token Redemption Fee</t>
  </si>
  <si>
    <t>Official announcement says qualified investors can use mF-ONE, while eligibility docs describe KYC checks and professional whitelisting.</t>
  </si>
  <si>
    <t>Qualified investors can collateralise mF-ONE</t>
  </si>
  <si>
    <t>Official Telegram</t>
  </si>
  <si>
    <t>OTHER (Crypto Index)</t>
  </si>
  <si>
    <t>OTHER (Capital Appreciation, Income Accumulation)</t>
  </si>
  <si>
    <t>Source link:</t>
  </si>
  <si>
    <t>https://defillama.com/rwa</t>
  </si>
  <si>
    <t>As of February 2026, list by Market Capitalization</t>
  </si>
  <si>
    <t>Protocol Name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</si>
</sst>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39">
    <font>
      <sz val="11"/>
      <color theme="1"/>
      <name val="Aptos Narrow"/>
      <family val="2"/>
      <scheme val="minor"/>
    </font>
    <font>
      <b/>
      <sz val="10"/>
      <color rgb="FF181A1B"/>
      <name val="Arial"/>
      <family val="2"/>
    </font>
    <font>
      <b/>
      <sz val="11"/>
      <color rgb="FF1A1A1A"/>
      <name val="Arial"/>
      <family val="2"/>
    </font>
    <font>
      <b/>
      <sz val="12"/>
      <color rgb="FFFFFFFF"/>
      <name val="Arial"/>
      <family val="2"/>
    </font>
    <font>
      <b/>
      <sz val="12"/>
      <color theme="1"/>
      <name val="Arial"/>
      <family val="2"/>
    </font>
    <font>
      <b/>
      <sz val="11"/>
      <color rgb="FFFFFFFF"/>
      <name val="Arial"/>
      <family val="2"/>
    </font>
    <font>
      <b/>
      <sz val="11"/>
      <color rgb="FF181A1B"/>
      <name val="Arial"/>
      <family val="2"/>
    </font>
    <font>
      <b/>
      <sz val="11"/>
      <color theme="1"/>
      <name val="Arial"/>
      <family val="2"/>
    </font>
    <font>
      <b/>
      <sz val="10"/>
      <color rgb="FF1A1A1A"/>
      <name val="Arial"/>
      <family val="2"/>
    </font>
    <font>
      <sz val="10"/>
      <color theme="1"/>
      <name val="Arial"/>
      <family val="2"/>
    </font>
    <font>
      <b/>
      <sz val="10"/>
      <color theme="1"/>
      <name val="Arial"/>
      <family val="2"/>
    </font>
    <font>
      <sz val="10"/>
      <color rgb="FF1A1A1A"/>
      <name val="Arial"/>
      <family val="2"/>
    </font>
    <font>
      <sz val="10"/>
      <color rgb="FF181A1B"/>
      <name val="Arial"/>
      <family val="2"/>
    </font>
    <font>
      <sz val="10"/>
      <color rgb="FFFFFFFF"/>
      <name val="Google Sans Text"/>
    </font>
    <font>
      <sz val="10"/>
      <color rgb="FF1F1F1F"/>
      <name val="Google Sans Text"/>
    </font>
    <font>
      <sz val="10"/>
      <color rgb="FF842E2E"/>
      <name val="Google Sans Text"/>
    </font>
    <font>
      <sz val="10"/>
      <color rgb="FF2C481F"/>
      <name val="Google Sans Text"/>
    </font>
    <font>
      <sz val="10"/>
      <color rgb="FF383A3C"/>
      <name val="Google Sans Text"/>
    </font>
    <font>
      <sz val="10"/>
      <color rgb="FF423671"/>
      <name val="Google Sans Text"/>
    </font>
    <font>
      <sz val="10"/>
      <color rgb="FF4C535E"/>
      <name val="Google Sans Text"/>
    </font>
    <font>
      <sz val="10"/>
      <color rgb="FF2A3243"/>
      <name val="Google Sans Text"/>
    </font>
    <font>
      <sz val="10"/>
      <color rgb="FF3E4186"/>
      <name val="Google Sans Text"/>
    </font>
    <font>
      <sz val="10"/>
      <color rgb="FF6A2723"/>
      <name val="Google Sans Text"/>
    </font>
    <font>
      <sz val="10"/>
      <color rgb="FF133819"/>
      <name val="Google Sans Text"/>
    </font>
    <font>
      <sz val="11"/>
      <color theme="1"/>
      <name val="Arial"/>
      <family val="2"/>
    </font>
    <font>
      <u/>
      <sz val="11"/>
      <color theme="10"/>
      <name val="Aptos Narrow"/>
      <family val="2"/>
      <scheme val="minor"/>
    </font>
    <font>
      <b/>
      <sz val="11"/>
      <color rgb="FF000000"/>
      <name val="Aptos Narrow"/>
      <family val="2"/>
      <scheme val="minor"/>
    </font>
    <font>
      <b/>
      <sz val="11"/>
      <color rgb="FF44546A"/>
      <name val="Aptos Narrow"/>
      <family val="2"/>
      <scheme val="minor"/>
    </font>
    <font>
      <b/>
      <sz val="11"/>
      <color rgb="FF181A1B"/>
      <name val="Aptos Narrow"/>
      <family val="2"/>
      <scheme val="minor"/>
    </font>
    <font>
      <sz val="11"/>
      <color rgb="FF000000"/>
      <name val="Aptos Narrow"/>
      <family val="2"/>
      <scheme val="minor"/>
    </font>
    <font>
      <sz val="11"/>
      <color rgb="FF44546A"/>
      <name val="Aptos Narrow"/>
      <family val="2"/>
      <scheme val="minor"/>
    </font>
    <font>
      <u/>
      <sz val="11"/>
      <color rgb="FF000000"/>
      <name val="Aptos Narrow"/>
      <family val="2"/>
      <scheme val="minor"/>
    </font>
    <font>
      <i/>
      <sz val="11"/>
      <color rgb="FF000000"/>
      <name val="Aptos Narrow"/>
      <family val="2"/>
      <scheme val="minor"/>
    </font>
    <font>
      <i/>
      <sz val="11"/>
      <color rgb="FF44546A"/>
      <name val="Aptos Narrow"/>
      <family val="2"/>
      <scheme val="minor"/>
    </font>
    <font>
      <u/>
      <sz val="11"/>
      <color rgb="FF56A3F1"/>
      <name val="Aptos Narrow"/>
      <family val="2"/>
      <scheme val="minor"/>
    </font>
    <font>
      <u/>
      <sz val="11"/>
      <color rgb="FF0000FF"/>
      <name val="Aptos Narrow"/>
      <family val="2"/>
      <scheme val="minor"/>
    </font>
    <font>
      <sz val="11"/>
      <name val="Aptos Narrow"/>
      <family val="2"/>
      <scheme val="minor"/>
    </font>
    <font>
      <sz val="11"/>
      <color rgb="FFE8E6E3"/>
      <name val="Aptos Narrow"/>
      <family val="2"/>
      <scheme val="minor"/>
    </font>
    <font>
      <u/>
      <sz val="11"/>
      <color theme="1"/>
      <name val="Aptos Narrow"/>
      <family val="2"/>
      <scheme val="minor"/>
    </font>
  </fonts>
  <fills count="12">
    <fill>
      <patternFill patternType="none"/>
    </fill>
    <fill>
      <patternFill patternType="gray125"/>
    </fill>
    <fill>
      <patternFill patternType="solid">
        <fgColor rgb="FF4285F4"/>
        <bgColor indexed="64"/>
      </patternFill>
    </fill>
    <fill>
      <patternFill patternType="solid">
        <fgColor rgb="FF46BDC6"/>
        <bgColor indexed="64"/>
      </patternFill>
    </fill>
    <fill>
      <patternFill patternType="solid">
        <fgColor rgb="FF8E7CC3"/>
        <bgColor indexed="64"/>
      </patternFill>
    </fill>
    <fill>
      <patternFill patternType="solid">
        <fgColor rgb="FF0B8043"/>
        <bgColor indexed="64"/>
      </patternFill>
    </fill>
    <fill>
      <patternFill patternType="solid">
        <fgColor rgb="FFFF6D01"/>
        <bgColor indexed="64"/>
      </patternFill>
    </fill>
    <fill>
      <patternFill patternType="solid">
        <fgColor rgb="FFD9D9D9"/>
        <bgColor indexed="64"/>
      </patternFill>
    </fill>
    <fill>
      <patternFill patternType="solid">
        <fgColor rgb="FF999999"/>
        <bgColor indexed="64"/>
      </patternFill>
    </fill>
    <fill>
      <patternFill patternType="solid">
        <fgColor rgb="FF356854"/>
        <bgColor indexed="64"/>
      </patternFill>
    </fill>
    <fill>
      <patternFill patternType="solid">
        <fgColor rgb="FFFFFFFF"/>
        <bgColor indexed="64"/>
      </patternFill>
    </fill>
    <fill>
      <patternFill patternType="solid">
        <fgColor rgb="FFF6F8F9"/>
        <bgColor indexed="64"/>
      </patternFill>
    </fill>
  </fills>
  <borders count="21">
    <border>
      <left/>
      <right/>
      <top/>
      <bottom/>
      <diagonal/>
    </border>
    <border>
      <left style="medium">
        <color rgb="FF000000"/>
      </left>
      <right style="medium">
        <color rgb="FF000000"/>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style="mediumDashed">
        <color rgb="FF000000"/>
      </left>
      <right style="medium">
        <color rgb="FF000000"/>
      </right>
      <top style="medium">
        <color rgb="FF000000"/>
      </top>
      <bottom style="mediumDashed">
        <color rgb="FF000000"/>
      </bottom>
      <diagonal/>
    </border>
    <border>
      <left style="mediumDashed">
        <color rgb="FF000000"/>
      </left>
      <right style="medium">
        <color rgb="FF000000"/>
      </right>
      <top/>
      <bottom/>
      <diagonal/>
    </border>
    <border>
      <left style="mediumDashed">
        <color rgb="FF000000"/>
      </left>
      <right style="medium">
        <color rgb="FF000000"/>
      </right>
      <top/>
      <bottom style="mediumDashed">
        <color rgb="FF000000"/>
      </bottom>
      <diagonal/>
    </border>
    <border>
      <left style="medium">
        <color rgb="FF284E3F"/>
      </left>
      <right style="medium">
        <color rgb="FF284E3F"/>
      </right>
      <top style="medium">
        <color rgb="FF284E3F"/>
      </top>
      <bottom style="medium">
        <color rgb="FF284E3F"/>
      </bottom>
      <diagonal/>
    </border>
    <border>
      <left style="medium">
        <color rgb="FFCCCCCC"/>
      </left>
      <right style="medium">
        <color rgb="FF284E3F"/>
      </right>
      <top style="medium">
        <color rgb="FF284E3F"/>
      </top>
      <bottom style="medium">
        <color rgb="FF284E3F"/>
      </bottom>
      <diagonal/>
    </border>
    <border>
      <left style="medium">
        <color rgb="FF284E3F"/>
      </left>
      <right style="medium">
        <color rgb="FFD9D9D9"/>
      </right>
      <top style="medium">
        <color rgb="FFCCCCCC"/>
      </top>
      <bottom style="medium">
        <color rgb="FFD9D9D9"/>
      </bottom>
      <diagonal/>
    </border>
    <border>
      <left style="medium">
        <color rgb="FFCCCCCC"/>
      </left>
      <right style="medium">
        <color rgb="FFD9D9D9"/>
      </right>
      <top style="medium">
        <color rgb="FFCCCCCC"/>
      </top>
      <bottom style="medium">
        <color rgb="FFD9D9D9"/>
      </bottom>
      <diagonal/>
    </border>
    <border>
      <left style="medium">
        <color rgb="FFCCCCCC"/>
      </left>
      <right style="medium">
        <color rgb="FF284E3F"/>
      </right>
      <top style="medium">
        <color rgb="FFCCCCCC"/>
      </top>
      <bottom style="medium">
        <color rgb="FFD9D9D9"/>
      </bottom>
      <diagonal/>
    </border>
    <border>
      <left style="medium">
        <color rgb="FF284E3F"/>
      </left>
      <right style="medium">
        <color rgb="FFD9D9D9"/>
      </right>
      <top style="medium">
        <color rgb="FFCCCCCC"/>
      </top>
      <bottom style="medium">
        <color rgb="FF284E3F"/>
      </bottom>
      <diagonal/>
    </border>
    <border>
      <left style="medium">
        <color rgb="FFCCCCCC"/>
      </left>
      <right style="medium">
        <color rgb="FFD9D9D9"/>
      </right>
      <top style="medium">
        <color rgb="FFCCCCCC"/>
      </top>
      <bottom style="medium">
        <color rgb="FF284E3F"/>
      </bottom>
      <diagonal/>
    </border>
    <border>
      <left style="medium">
        <color rgb="FFCCCCCC"/>
      </left>
      <right style="medium">
        <color rgb="FF284E3F"/>
      </right>
      <top style="medium">
        <color rgb="FFCCCCCC"/>
      </top>
      <bottom style="medium">
        <color rgb="FF284E3F"/>
      </bottom>
      <diagonal/>
    </border>
  </borders>
  <cellStyleXfs count="2">
    <xf numFmtId="0" fontId="0" fillId="0" borderId="0"/>
    <xf numFmtId="0" fontId="25" fillId="0" borderId="0" applyNumberFormat="0" applyFill="0" applyBorder="0" applyAlignment="0" applyProtection="0"/>
  </cellStyleXfs>
  <cellXfs count="117">
    <xf numFmtId="0" fontId="0" fillId="0" borderId="0" xfId="0"/>
    <xf numFmtId="0" fontId="2" fillId="0" borderId="1" xfId="0" applyFont="1" applyBorder="1" applyAlignment="1">
      <alignment horizontal="right" wrapText="1"/>
    </xf>
    <xf numFmtId="0" fontId="2" fillId="0" borderId="4" xfId="0" applyFont="1" applyBorder="1" applyAlignment="1">
      <alignment horizontal="right" wrapText="1"/>
    </xf>
    <xf numFmtId="0" fontId="5" fillId="2" borderId="5" xfId="0" applyFont="1" applyFill="1" applyBorder="1" applyAlignment="1">
      <alignment horizontal="center" wrapText="1"/>
    </xf>
    <xf numFmtId="0" fontId="5" fillId="3" borderId="5" xfId="0" applyFont="1" applyFill="1" applyBorder="1" applyAlignment="1">
      <alignment horizontal="center" wrapText="1"/>
    </xf>
    <xf numFmtId="0" fontId="5" fillId="4" borderId="5" xfId="0" applyFont="1" applyFill="1" applyBorder="1" applyAlignment="1">
      <alignment horizontal="center" wrapText="1"/>
    </xf>
    <xf numFmtId="0" fontId="6" fillId="5" borderId="5" xfId="0" applyFont="1" applyFill="1" applyBorder="1" applyAlignment="1">
      <alignment horizontal="center" wrapText="1"/>
    </xf>
    <xf numFmtId="0" fontId="7" fillId="6" borderId="5" xfId="0" applyFont="1" applyFill="1" applyBorder="1" applyAlignment="1">
      <alignment horizontal="center" wrapText="1"/>
    </xf>
    <xf numFmtId="0" fontId="8" fillId="2" borderId="5" xfId="0" applyFont="1" applyFill="1" applyBorder="1" applyAlignment="1">
      <alignment horizontal="center" wrapText="1"/>
    </xf>
    <xf numFmtId="0" fontId="9" fillId="2" borderId="5" xfId="0" applyFont="1" applyFill="1" applyBorder="1" applyAlignment="1">
      <alignment wrapText="1"/>
    </xf>
    <xf numFmtId="0" fontId="9" fillId="3" borderId="5" xfId="0" applyFont="1" applyFill="1" applyBorder="1" applyAlignment="1">
      <alignment wrapText="1"/>
    </xf>
    <xf numFmtId="0" fontId="1" fillId="3" borderId="5" xfId="0" applyFont="1" applyFill="1" applyBorder="1" applyAlignment="1">
      <alignment horizontal="center" wrapText="1"/>
    </xf>
    <xf numFmtId="0" fontId="8" fillId="3" borderId="5" xfId="0" applyFont="1" applyFill="1" applyBorder="1" applyAlignment="1">
      <alignment horizontal="center" wrapText="1"/>
    </xf>
    <xf numFmtId="0" fontId="9" fillId="4" borderId="5" xfId="0" applyFont="1" applyFill="1" applyBorder="1" applyAlignment="1">
      <alignment wrapText="1"/>
    </xf>
    <xf numFmtId="0" fontId="8" fillId="4" borderId="5" xfId="0" applyFont="1" applyFill="1" applyBorder="1" applyAlignment="1">
      <alignment horizontal="center" wrapText="1"/>
    </xf>
    <xf numFmtId="0" fontId="9" fillId="5" borderId="5" xfId="0" applyFont="1" applyFill="1" applyBorder="1" applyAlignment="1">
      <alignment wrapText="1"/>
    </xf>
    <xf numFmtId="0" fontId="9" fillId="6" borderId="5" xfId="0" applyFont="1" applyFill="1" applyBorder="1" applyAlignment="1">
      <alignment wrapText="1"/>
    </xf>
    <xf numFmtId="0" fontId="10" fillId="6" borderId="5" xfId="0" applyFont="1" applyFill="1" applyBorder="1" applyAlignment="1">
      <alignment horizontal="center" wrapText="1"/>
    </xf>
    <xf numFmtId="0" fontId="11" fillId="0" borderId="5" xfId="0" applyFont="1" applyBorder="1" applyAlignment="1">
      <alignment vertical="top" wrapText="1"/>
    </xf>
    <xf numFmtId="0" fontId="12" fillId="0" borderId="5" xfId="0" applyFont="1" applyBorder="1" applyAlignment="1">
      <alignment vertical="top" wrapText="1"/>
    </xf>
    <xf numFmtId="0" fontId="9" fillId="0" borderId="5" xfId="0" applyFont="1" applyBorder="1" applyAlignment="1">
      <alignment vertical="top" wrapText="1"/>
    </xf>
    <xf numFmtId="0" fontId="2" fillId="7" borderId="4" xfId="0" applyFont="1" applyFill="1" applyBorder="1" applyAlignment="1">
      <alignment horizontal="right" wrapText="1"/>
    </xf>
    <xf numFmtId="0" fontId="2" fillId="7" borderId="5" xfId="0" applyFont="1" applyFill="1" applyBorder="1" applyAlignment="1">
      <alignment horizontal="right" wrapText="1"/>
    </xf>
    <xf numFmtId="0" fontId="2" fillId="7" borderId="5" xfId="0" applyFont="1" applyFill="1" applyBorder="1" applyAlignment="1">
      <alignment horizontal="center" wrapText="1"/>
    </xf>
    <xf numFmtId="0" fontId="2" fillId="7" borderId="5" xfId="0" applyFont="1" applyFill="1" applyBorder="1" applyAlignment="1">
      <alignment horizontal="center" vertical="center" wrapText="1"/>
    </xf>
    <xf numFmtId="14" fontId="0" fillId="0" borderId="0" xfId="0" applyNumberFormat="1"/>
    <xf numFmtId="0" fontId="13" fillId="9" borderId="13" xfId="0" applyFont="1" applyFill="1" applyBorder="1" applyAlignment="1">
      <alignment vertical="center" wrapText="1"/>
    </xf>
    <xf numFmtId="0" fontId="13" fillId="9" borderId="14" xfId="0" applyFont="1" applyFill="1" applyBorder="1" applyAlignment="1">
      <alignment vertical="center" wrapText="1"/>
    </xf>
    <xf numFmtId="0" fontId="14" fillId="10" borderId="15" xfId="0" applyFont="1" applyFill="1" applyBorder="1" applyAlignment="1">
      <alignment horizontal="right" vertical="center" wrapText="1"/>
    </xf>
    <xf numFmtId="0" fontId="14" fillId="10" borderId="16" xfId="0" applyFont="1" applyFill="1" applyBorder="1" applyAlignment="1">
      <alignment vertical="center" wrapText="1"/>
    </xf>
    <xf numFmtId="0" fontId="15" fillId="10" borderId="16" xfId="0" applyFont="1" applyFill="1" applyBorder="1" applyAlignment="1">
      <alignment vertical="center" wrapText="1"/>
    </xf>
    <xf numFmtId="0" fontId="16" fillId="10" borderId="16" xfId="0" applyFont="1" applyFill="1" applyBorder="1" applyAlignment="1">
      <alignment vertical="center" wrapText="1"/>
    </xf>
    <xf numFmtId="0" fontId="17" fillId="10" borderId="16" xfId="0" applyFont="1" applyFill="1" applyBorder="1" applyAlignment="1">
      <alignment vertical="center" wrapText="1"/>
    </xf>
    <xf numFmtId="6" fontId="14" fillId="10" borderId="16" xfId="0" applyNumberFormat="1" applyFont="1" applyFill="1" applyBorder="1" applyAlignment="1">
      <alignment vertical="center" wrapText="1"/>
    </xf>
    <xf numFmtId="0" fontId="18" fillId="10" borderId="16" xfId="0" applyFont="1" applyFill="1" applyBorder="1" applyAlignment="1">
      <alignment vertical="center" wrapText="1"/>
    </xf>
    <xf numFmtId="0" fontId="9" fillId="10" borderId="16" xfId="0" applyFont="1" applyFill="1" applyBorder="1" applyAlignment="1">
      <alignment vertical="center" wrapText="1"/>
    </xf>
    <xf numFmtId="0" fontId="14" fillId="10" borderId="17" xfId="0" applyFont="1" applyFill="1" applyBorder="1" applyAlignment="1">
      <alignment vertical="center" wrapText="1"/>
    </xf>
    <xf numFmtId="0" fontId="14" fillId="11" borderId="15" xfId="0" applyFont="1" applyFill="1" applyBorder="1" applyAlignment="1">
      <alignment horizontal="right" vertical="center" wrapText="1"/>
    </xf>
    <xf numFmtId="0" fontId="14" fillId="11" borderId="16" xfId="0" applyFont="1" applyFill="1" applyBorder="1" applyAlignment="1">
      <alignment vertical="center" wrapText="1"/>
    </xf>
    <xf numFmtId="0" fontId="15" fillId="11" borderId="16" xfId="0" applyFont="1" applyFill="1" applyBorder="1" applyAlignment="1">
      <alignment vertical="center" wrapText="1"/>
    </xf>
    <xf numFmtId="0" fontId="16" fillId="11" borderId="16" xfId="0" applyFont="1" applyFill="1" applyBorder="1" applyAlignment="1">
      <alignment vertical="center" wrapText="1"/>
    </xf>
    <xf numFmtId="0" fontId="19" fillId="11" borderId="16" xfId="0" applyFont="1" applyFill="1" applyBorder="1" applyAlignment="1">
      <alignment vertical="center" wrapText="1"/>
    </xf>
    <xf numFmtId="0" fontId="9" fillId="11" borderId="16" xfId="0" applyFont="1" applyFill="1" applyBorder="1" applyAlignment="1">
      <alignment vertical="center" wrapText="1"/>
    </xf>
    <xf numFmtId="0" fontId="18" fillId="11" borderId="16" xfId="0" applyFont="1" applyFill="1" applyBorder="1" applyAlignment="1">
      <alignment vertical="center" wrapText="1"/>
    </xf>
    <xf numFmtId="0" fontId="14" fillId="11" borderId="17" xfId="0" applyFont="1" applyFill="1" applyBorder="1" applyAlignment="1">
      <alignment vertical="center" wrapText="1"/>
    </xf>
    <xf numFmtId="0" fontId="19" fillId="10" borderId="16" xfId="0" applyFont="1" applyFill="1" applyBorder="1" applyAlignment="1">
      <alignment vertical="center" wrapText="1"/>
    </xf>
    <xf numFmtId="8" fontId="14" fillId="10" borderId="16" xfId="0" applyNumberFormat="1" applyFont="1" applyFill="1" applyBorder="1" applyAlignment="1">
      <alignment vertical="center" wrapText="1"/>
    </xf>
    <xf numFmtId="6" fontId="14" fillId="11" borderId="16" xfId="0" applyNumberFormat="1" applyFont="1" applyFill="1" applyBorder="1" applyAlignment="1">
      <alignment vertical="center" wrapText="1"/>
    </xf>
    <xf numFmtId="8" fontId="14" fillId="11" borderId="16" xfId="0" applyNumberFormat="1" applyFont="1" applyFill="1" applyBorder="1" applyAlignment="1">
      <alignment vertical="center" wrapText="1"/>
    </xf>
    <xf numFmtId="0" fontId="20" fillId="10" borderId="16" xfId="0" applyFont="1" applyFill="1" applyBorder="1" applyAlignment="1">
      <alignment vertical="center" wrapText="1"/>
    </xf>
    <xf numFmtId="0" fontId="21" fillId="10" borderId="16" xfId="0" applyFont="1" applyFill="1" applyBorder="1" applyAlignment="1">
      <alignment vertical="center" wrapText="1"/>
    </xf>
    <xf numFmtId="0" fontId="17" fillId="11" borderId="16" xfId="0" applyFont="1" applyFill="1" applyBorder="1" applyAlignment="1">
      <alignment vertical="center" wrapText="1"/>
    </xf>
    <xf numFmtId="0" fontId="22" fillId="10" borderId="16" xfId="0" applyFont="1" applyFill="1" applyBorder="1" applyAlignment="1">
      <alignment vertical="center" wrapText="1"/>
    </xf>
    <xf numFmtId="0" fontId="23" fillId="10" borderId="16" xfId="0" applyFont="1" applyFill="1" applyBorder="1" applyAlignment="1">
      <alignment vertical="center" wrapText="1"/>
    </xf>
    <xf numFmtId="0" fontId="22" fillId="11" borderId="16" xfId="0" applyFont="1" applyFill="1" applyBorder="1" applyAlignment="1">
      <alignment vertical="center" wrapText="1"/>
    </xf>
    <xf numFmtId="0" fontId="23" fillId="11" borderId="16" xfId="0" applyFont="1" applyFill="1" applyBorder="1" applyAlignment="1">
      <alignment vertical="center" wrapText="1"/>
    </xf>
    <xf numFmtId="0" fontId="21" fillId="11" borderId="16" xfId="0" applyFont="1" applyFill="1" applyBorder="1" applyAlignment="1">
      <alignment vertical="center" wrapText="1"/>
    </xf>
    <xf numFmtId="0" fontId="20" fillId="11" borderId="16" xfId="0" applyFont="1" applyFill="1" applyBorder="1" applyAlignment="1">
      <alignment vertical="center" wrapText="1"/>
    </xf>
    <xf numFmtId="0" fontId="14" fillId="10" borderId="18" xfId="0" applyFont="1" applyFill="1" applyBorder="1" applyAlignment="1">
      <alignment horizontal="right" vertical="center" wrapText="1"/>
    </xf>
    <xf numFmtId="0" fontId="14" fillId="10" borderId="19" xfId="0" applyFont="1" applyFill="1" applyBorder="1" applyAlignment="1">
      <alignment vertical="center" wrapText="1"/>
    </xf>
    <xf numFmtId="0" fontId="15" fillId="10" borderId="19" xfId="0" applyFont="1" applyFill="1" applyBorder="1" applyAlignment="1">
      <alignment vertical="center" wrapText="1"/>
    </xf>
    <xf numFmtId="0" fontId="16" fillId="10" borderId="19" xfId="0" applyFont="1" applyFill="1" applyBorder="1" applyAlignment="1">
      <alignment vertical="center" wrapText="1"/>
    </xf>
    <xf numFmtId="0" fontId="17" fillId="10" borderId="19" xfId="0" applyFont="1" applyFill="1" applyBorder="1" applyAlignment="1">
      <alignment vertical="center" wrapText="1"/>
    </xf>
    <xf numFmtId="6" fontId="14" fillId="10" borderId="19" xfId="0" applyNumberFormat="1" applyFont="1" applyFill="1" applyBorder="1" applyAlignment="1">
      <alignment vertical="center" wrapText="1"/>
    </xf>
    <xf numFmtId="8" fontId="14" fillId="10" borderId="19" xfId="0" applyNumberFormat="1" applyFont="1" applyFill="1" applyBorder="1" applyAlignment="1">
      <alignment vertical="center" wrapText="1"/>
    </xf>
    <xf numFmtId="0" fontId="21" fillId="10" borderId="19" xfId="0" applyFont="1" applyFill="1" applyBorder="1" applyAlignment="1">
      <alignment vertical="center" wrapText="1"/>
    </xf>
    <xf numFmtId="0" fontId="9" fillId="10" borderId="19" xfId="0" applyFont="1" applyFill="1" applyBorder="1" applyAlignment="1">
      <alignment vertical="center" wrapText="1"/>
    </xf>
    <xf numFmtId="0" fontId="14" fillId="10" borderId="20" xfId="0" applyFont="1" applyFill="1" applyBorder="1" applyAlignment="1">
      <alignment vertical="center" wrapText="1"/>
    </xf>
    <xf numFmtId="0" fontId="24" fillId="0" borderId="0" xfId="0" applyFont="1" applyAlignment="1">
      <alignment wrapText="1"/>
    </xf>
    <xf numFmtId="0" fontId="24" fillId="0" borderId="0" xfId="0" applyFont="1"/>
    <xf numFmtId="14" fontId="24" fillId="0" borderId="0" xfId="0" applyNumberFormat="1" applyFont="1"/>
    <xf numFmtId="0" fontId="26" fillId="0" borderId="0" xfId="0" applyFont="1" applyAlignment="1">
      <alignment horizontal="center" vertical="center"/>
    </xf>
    <xf numFmtId="0" fontId="26" fillId="0" borderId="0" xfId="0" applyFont="1"/>
    <xf numFmtId="0" fontId="27" fillId="0" borderId="0" xfId="0" applyFont="1"/>
    <xf numFmtId="14" fontId="28" fillId="0" borderId="0" xfId="0" applyNumberFormat="1" applyFont="1"/>
    <xf numFmtId="0" fontId="28" fillId="0" borderId="0" xfId="0" applyFont="1"/>
    <xf numFmtId="0" fontId="26" fillId="0" borderId="0" xfId="0" applyFont="1" applyAlignment="1">
      <alignment wrapText="1"/>
    </xf>
    <xf numFmtId="0" fontId="29" fillId="0" borderId="0" xfId="0" applyFont="1"/>
    <xf numFmtId="0" fontId="30" fillId="0" borderId="0" xfId="0" applyFont="1"/>
    <xf numFmtId="14" fontId="29" fillId="0" borderId="0" xfId="0" applyNumberFormat="1" applyFont="1"/>
    <xf numFmtId="0" fontId="31" fillId="0" borderId="0" xfId="0" applyFont="1" applyAlignment="1">
      <alignment wrapText="1"/>
    </xf>
    <xf numFmtId="0" fontId="0" fillId="0" borderId="0" xfId="0" applyAlignment="1">
      <alignment wrapText="1"/>
    </xf>
    <xf numFmtId="0" fontId="32" fillId="0" borderId="0" xfId="0" applyFont="1"/>
    <xf numFmtId="0" fontId="33" fillId="0" borderId="0" xfId="0" applyFont="1"/>
    <xf numFmtId="0" fontId="31" fillId="0" borderId="0" xfId="0" applyFont="1"/>
    <xf numFmtId="0" fontId="34" fillId="0" borderId="0" xfId="0" applyFont="1"/>
    <xf numFmtId="0" fontId="35" fillId="0" borderId="0" xfId="0" applyFont="1"/>
    <xf numFmtId="0" fontId="36" fillId="0" borderId="0" xfId="0" applyFont="1"/>
    <xf numFmtId="0" fontId="37" fillId="0" borderId="0" xfId="0" applyFont="1"/>
    <xf numFmtId="14" fontId="0" fillId="0" borderId="0" xfId="0" applyNumberFormat="1" applyAlignment="1">
      <alignment horizontal="right" wrapText="1"/>
    </xf>
    <xf numFmtId="0" fontId="25" fillId="0" borderId="0" xfId="1" applyBorder="1" applyAlignment="1">
      <alignment wrapText="1"/>
    </xf>
    <xf numFmtId="0" fontId="38" fillId="0" borderId="0" xfId="0" applyFont="1" applyAlignment="1">
      <alignment wrapText="1"/>
    </xf>
    <xf numFmtId="0" fontId="25" fillId="0" borderId="0" xfId="1"/>
    <xf numFmtId="0" fontId="0" fillId="0" borderId="0" xfId="0" applyAlignment="1">
      <alignment horizontal="center" vertical="center"/>
    </xf>
    <xf numFmtId="0" fontId="29" fillId="0" borderId="0" xfId="0" applyFont="1" applyAlignment="1">
      <alignment horizontal="center" vertical="center"/>
    </xf>
    <xf numFmtId="0" fontId="0" fillId="0" borderId="0" xfId="0"/>
    <xf numFmtId="0" fontId="29" fillId="0" borderId="0" xfId="0" applyFont="1" applyAlignment="1">
      <alignment horizontal="center" vertical="center" wrapText="1"/>
    </xf>
    <xf numFmtId="0" fontId="31" fillId="0" borderId="0" xfId="0" applyFont="1"/>
    <xf numFmtId="0" fontId="3" fillId="2" borderId="1" xfId="0" applyFont="1" applyFill="1" applyBorder="1" applyAlignment="1">
      <alignment horizontal="center" wrapText="1"/>
    </xf>
    <xf numFmtId="0" fontId="0" fillId="0" borderId="2" xfId="0" applyBorder="1" applyAlignment="1">
      <alignment wrapText="1"/>
    </xf>
    <xf numFmtId="0" fontId="0" fillId="0" borderId="3" xfId="0" applyBorder="1" applyAlignment="1">
      <alignment wrapText="1"/>
    </xf>
    <xf numFmtId="0" fontId="3" fillId="3" borderId="1" xfId="0" applyFont="1" applyFill="1" applyBorder="1" applyAlignment="1">
      <alignment horizontal="center" wrapText="1"/>
    </xf>
    <xf numFmtId="0" fontId="3" fillId="4" borderId="1" xfId="0" applyFont="1" applyFill="1" applyBorder="1" applyAlignment="1">
      <alignment horizontal="center" wrapText="1"/>
    </xf>
    <xf numFmtId="0" fontId="4" fillId="5" borderId="2" xfId="0" applyFont="1" applyFill="1" applyBorder="1" applyAlignment="1">
      <alignment horizontal="center" wrapText="1"/>
    </xf>
    <xf numFmtId="0" fontId="4" fillId="5" borderId="3" xfId="0" applyFont="1" applyFill="1" applyBorder="1" applyAlignment="1">
      <alignment horizontal="center" wrapText="1"/>
    </xf>
    <xf numFmtId="0" fontId="4" fillId="6" borderId="1" xfId="0" applyFont="1" applyFill="1" applyBorder="1" applyAlignment="1">
      <alignment horizontal="center" wrapText="1"/>
    </xf>
    <xf numFmtId="0" fontId="5" fillId="3" borderId="1" xfId="0" applyFont="1" applyFill="1" applyBorder="1" applyAlignment="1">
      <alignment horizontal="center" wrapText="1"/>
    </xf>
    <xf numFmtId="0" fontId="5" fillId="4" borderId="1" xfId="0" applyFont="1" applyFill="1" applyBorder="1" applyAlignment="1">
      <alignment horizontal="center" wrapText="1"/>
    </xf>
    <xf numFmtId="0" fontId="2" fillId="7" borderId="1" xfId="0" applyFont="1" applyFill="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5" xfId="0" applyBorder="1"/>
    <xf numFmtId="0" fontId="9" fillId="8" borderId="10" xfId="0" applyFont="1" applyFill="1" applyBorder="1" applyAlignment="1">
      <alignment wrapText="1"/>
    </xf>
    <xf numFmtId="0" fontId="0" fillId="0" borderId="11" xfId="0" applyBorder="1"/>
    <xf numFmtId="0" fontId="0" fillId="0" borderId="12" xfId="0" applyBorder="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17" Type="http://schemas.openxmlformats.org/officeDocument/2006/relationships/hyperlink" Target="https://docs.ondo.finance/qualified-access-products/ousg/important-notes" TargetMode="External"/><Relationship Id="rId299" Type="http://schemas.openxmlformats.org/officeDocument/2006/relationships/hyperlink" Target="https://cdn.spiko.finance/legal_docs/EN/Prospectus_Spiko_SICAV_EN.pdf" TargetMode="External"/><Relationship Id="rId21" Type="http://schemas.openxmlformats.org/officeDocument/2006/relationships/hyperlink" Target="https://usyc.docs.hashnote.com/overview/investor-onboarding" TargetMode="External"/><Relationship Id="rId63" Type="http://schemas.openxmlformats.org/officeDocument/2006/relationships/hyperlink" Target="https://particula.io/rating-reports/particula-rating-report-anemoy-jaaa-november-2025" TargetMode="External"/><Relationship Id="rId159" Type="http://schemas.openxmlformats.org/officeDocument/2006/relationships/hyperlink" Target="https://digitalassets.franklintempleton.com/benji/" TargetMode="External"/><Relationship Id="rId324" Type="http://schemas.openxmlformats.org/officeDocument/2006/relationships/hyperlink" Target="https://mantleguard.com/" TargetMode="External"/><Relationship Id="rId170" Type="http://schemas.openxmlformats.org/officeDocument/2006/relationships/hyperlink" Target="https://digitalassets.franklintempleton.com/benji/" TargetMode="External"/><Relationship Id="rId226" Type="http://schemas.openxmlformats.org/officeDocument/2006/relationships/hyperlink" Target="https://docs.theo.xyz/thbill" TargetMode="External"/><Relationship Id="rId268" Type="http://schemas.openxmlformats.org/officeDocument/2006/relationships/hyperlink" Target="https://www.sec.gov/Archives/edgar/data/917286/000113322825007437/ftdf-efp16750_497k.htm" TargetMode="External"/><Relationship Id="rId32" Type="http://schemas.openxmlformats.org/officeDocument/2006/relationships/hyperlink" Target="https://docs.superstate.com/welcome-to-superstate/smart-contracts" TargetMode="External"/><Relationship Id="rId74" Type="http://schemas.openxmlformats.org/officeDocument/2006/relationships/hyperlink" Target="https://docs.centrifuge.io/user/concepts/share-tokens" TargetMode="External"/><Relationship Id="rId128" Type="http://schemas.openxmlformats.org/officeDocument/2006/relationships/hyperlink" Target="https://etherscan.io/token/0x6a9DA2D710BB9B700acde7Cb81F10F1fF8C89041" TargetMode="External"/><Relationship Id="rId335" Type="http://schemas.openxmlformats.org/officeDocument/2006/relationships/hyperlink" Target="https://mantleguard.com/blog/mi4-launches-with-securitize-as-tokenization-partner-and-mantle-treasury-as-anchor-investor" TargetMode="External"/><Relationship Id="rId5" Type="http://schemas.openxmlformats.org/officeDocument/2006/relationships/hyperlink" Target="https://usyc.docs.hashnote.com/" TargetMode="External"/><Relationship Id="rId181" Type="http://schemas.openxmlformats.org/officeDocument/2006/relationships/hyperlink" Target="https://docs.superstate.com/welcome-to-superstate/security" TargetMode="External"/><Relationship Id="rId237" Type="http://schemas.openxmlformats.org/officeDocument/2006/relationships/hyperlink" Target="https://docs.theo.xyz/thbill" TargetMode="External"/><Relationship Id="rId279" Type="http://schemas.openxmlformats.org/officeDocument/2006/relationships/hyperlink" Target="https://tech.spiko.io/posts/spiko-smart-contracts/" TargetMode="External"/><Relationship Id="rId43" Type="http://schemas.openxmlformats.org/officeDocument/2006/relationships/hyperlink" Target="https://www.sec.gov/Archives/edgar/data/1859001/000121465925012990/wtd4485apospea8.htm" TargetMode="External"/><Relationship Id="rId139" Type="http://schemas.openxmlformats.org/officeDocument/2006/relationships/hyperlink" Target="https://hastra.io/terms" TargetMode="External"/><Relationship Id="rId290" Type="http://schemas.openxmlformats.org/officeDocument/2006/relationships/hyperlink" Target="https://cdn.spiko.finance/legal_docs/EN/Prospectus_Spiko_SICAV_EN.pdf" TargetMode="External"/><Relationship Id="rId304" Type="http://schemas.openxmlformats.org/officeDocument/2006/relationships/hyperlink" Target="https://tech.spiko.io/posts/spiko-smart-contracts/" TargetMode="External"/><Relationship Id="rId346" Type="http://schemas.openxmlformats.org/officeDocument/2006/relationships/hyperlink" Target="https://t.me/s/midasrwa?before=191" TargetMode="External"/><Relationship Id="rId85" Type="http://schemas.openxmlformats.org/officeDocument/2006/relationships/hyperlink" Target="https://www.anemoy.io/funds/jtrsy" TargetMode="External"/><Relationship Id="rId150" Type="http://schemas.openxmlformats.org/officeDocument/2006/relationships/hyperlink" Target="https://help.hastra.io/wylds/claim-your-yields" TargetMode="External"/><Relationship Id="rId192" Type="http://schemas.openxmlformats.org/officeDocument/2006/relationships/hyperlink" Target="https://docs.superstate.com/welcome-to-superstate/smart-contracts" TargetMode="External"/><Relationship Id="rId206" Type="http://schemas.openxmlformats.org/officeDocument/2006/relationships/hyperlink" Target="https://www.exodus.com/investors/sec-filings/all-sec-filings/content/0001821534-26-000009/descriptionofsecurities.htm" TargetMode="External"/><Relationship Id="rId248" Type="http://schemas.openxmlformats.org/officeDocument/2006/relationships/hyperlink" Target="https://www.sec.gov/Archives/edgar/data/917286/000113322825007435/0001133228-25-007435.txt" TargetMode="External"/><Relationship Id="rId12" Type="http://schemas.openxmlformats.org/officeDocument/2006/relationships/hyperlink" Target="https://usyc.docs.hashnote.com/overview/subscription-and-redemption" TargetMode="External"/><Relationship Id="rId108" Type="http://schemas.openxmlformats.org/officeDocument/2006/relationships/hyperlink" Target="https://docs.ondo.finance/qualified-access-products/ousg/redeeming" TargetMode="External"/><Relationship Id="rId315" Type="http://schemas.openxmlformats.org/officeDocument/2006/relationships/hyperlink" Target="https://www.sec.gov/Archives/edgar/data/2060423/000206042325000001/xslFormDX01/primary_doc.xml" TargetMode="External"/><Relationship Id="rId357" Type="http://schemas.openxmlformats.org/officeDocument/2006/relationships/hyperlink" Target="https://docs.midas.app/resources/smart-contracts-registry" TargetMode="External"/><Relationship Id="rId54" Type="http://schemas.openxmlformats.org/officeDocument/2006/relationships/hyperlink" Target="https://www.wisdomtree.com/-/media/us-media-files/documents/resource-library/fund-fact-sheets/digital/wtgxx.pdf" TargetMode="External"/><Relationship Id="rId96" Type="http://schemas.openxmlformats.org/officeDocument/2006/relationships/hyperlink" Target="https://docs.ondo.finance/qualified-access-products/ousg/regulatory-compliance" TargetMode="External"/><Relationship Id="rId161" Type="http://schemas.openxmlformats.org/officeDocument/2006/relationships/hyperlink" Target="https://www.franklintempleton.com/forms-literature/download-preview/9001-P" TargetMode="External"/><Relationship Id="rId217" Type="http://schemas.openxmlformats.org/officeDocument/2006/relationships/hyperlink" Target="https://www.exodus.com/investors/sec-filings/all-sec-filings/content/0001821534-26-000009/exod-20251231.htm" TargetMode="External"/><Relationship Id="rId259" Type="http://schemas.openxmlformats.org/officeDocument/2006/relationships/hyperlink" Target="https://www.sec.gov/Archives/edgar/data/917286/000113322825007437/ftdf-efp16750_497k.htm" TargetMode="External"/><Relationship Id="rId23" Type="http://schemas.openxmlformats.org/officeDocument/2006/relationships/hyperlink" Target="https://superstate.com/assets/ustb" TargetMode="External"/><Relationship Id="rId119" Type="http://schemas.openxmlformats.org/officeDocument/2006/relationships/hyperlink" Target="https://www.sec.gov/Archives/edgar/data/2013810/000201439024000001/xslFormDX01/primary_doc.xml" TargetMode="External"/><Relationship Id="rId270" Type="http://schemas.openxmlformats.org/officeDocument/2006/relationships/hyperlink" Target="https://cdn.spiko.finance/legal_docs/EN/Prospectus_Spiko_SICAV_EN.pdf" TargetMode="External"/><Relationship Id="rId326" Type="http://schemas.openxmlformats.org/officeDocument/2006/relationships/hyperlink" Target="https://mantleguard.com/" TargetMode="External"/><Relationship Id="rId65" Type="http://schemas.openxmlformats.org/officeDocument/2006/relationships/hyperlink" Target="https://gov.centrifuge.io/t/cp158-pool-onboarding-janus-henderson-anemoy-aaa-clo-fund/6845" TargetMode="External"/><Relationship Id="rId130" Type="http://schemas.openxmlformats.org/officeDocument/2006/relationships/hyperlink" Target="https://www.businesswire.com/news/home/20240320771318/en/BlackRock-Launches-Its-First-Tokenized-Fund-BUIDL-on-the-Ethereum-Network" TargetMode="External"/><Relationship Id="rId172" Type="http://schemas.openxmlformats.org/officeDocument/2006/relationships/hyperlink" Target="https://www.franklintempleton.com/forms-literature/download-preview/9001-P" TargetMode="External"/><Relationship Id="rId228" Type="http://schemas.openxmlformats.org/officeDocument/2006/relationships/hyperlink" Target="https://docs.theo.xyz/thbill" TargetMode="External"/><Relationship Id="rId281" Type="http://schemas.openxmlformats.org/officeDocument/2006/relationships/hyperlink" Target="https://tech.spiko.io/posts/spiko-smart-contracts/" TargetMode="External"/><Relationship Id="rId337" Type="http://schemas.openxmlformats.org/officeDocument/2006/relationships/hyperlink" Target="https://mantleguard.com/" TargetMode="External"/><Relationship Id="rId34" Type="http://schemas.openxmlformats.org/officeDocument/2006/relationships/hyperlink" Target="https://docs.superstate.com/superstate-funds/ustb/income-fees-and-yield" TargetMode="External"/><Relationship Id="rId76" Type="http://schemas.openxmlformats.org/officeDocument/2006/relationships/hyperlink" Target="https://centrifuge.io/blog/centrifuge-aave-horizon" TargetMode="External"/><Relationship Id="rId141" Type="http://schemas.openxmlformats.org/officeDocument/2006/relationships/hyperlink" Target="https://hastra.io/terms" TargetMode="External"/><Relationship Id="rId7" Type="http://schemas.openxmlformats.org/officeDocument/2006/relationships/hyperlink" Target="https://usyc.docs.hashnote.com/overview/subscription-and-redemption" TargetMode="External"/><Relationship Id="rId183" Type="http://schemas.openxmlformats.org/officeDocument/2006/relationships/hyperlink" Target="https://docs.superstate.com/superstate-funds/uscc/legal-structure" TargetMode="External"/><Relationship Id="rId239" Type="http://schemas.openxmlformats.org/officeDocument/2006/relationships/hyperlink" Target="https://docs.theo.xyz/resources/addresses" TargetMode="External"/><Relationship Id="rId250" Type="http://schemas.openxmlformats.org/officeDocument/2006/relationships/hyperlink" Target="https://www.sec.gov/Archives/edgar/data/917286/000113322825007435/0001133228-25-007435.txt" TargetMode="External"/><Relationship Id="rId292" Type="http://schemas.openxmlformats.org/officeDocument/2006/relationships/hyperlink" Target="https://cdn.spiko.finance/legal_docs/EN/Prospectus_Spiko_SICAV_EN.pdf" TargetMode="External"/><Relationship Id="rId306" Type="http://schemas.openxmlformats.org/officeDocument/2006/relationships/hyperlink" Target="https://cdn.spiko.finance/legal_docs/EN/Prospectus_Spiko_SICAV_EN.pdf" TargetMode="External"/><Relationship Id="rId45" Type="http://schemas.openxmlformats.org/officeDocument/2006/relationships/hyperlink" Target="https://www.wisdomtree.com/-/media/us-media-files/documents/resource-library/fund-fact-sheets/digital/wtgxx.pdf" TargetMode="External"/><Relationship Id="rId87" Type="http://schemas.openxmlformats.org/officeDocument/2006/relationships/hyperlink" Target="https://centrifuge.io/blog/liquid-treasury-fund-partnership" TargetMode="External"/><Relationship Id="rId110" Type="http://schemas.openxmlformats.org/officeDocument/2006/relationships/hyperlink" Target="https://docs.ondo.finance/qualified-access-products/ousg/technical" TargetMode="External"/><Relationship Id="rId348" Type="http://schemas.openxmlformats.org/officeDocument/2006/relationships/hyperlink" Target="https://docs.midas.app/resources/smart-contracts-registry" TargetMode="External"/><Relationship Id="rId152" Type="http://schemas.openxmlformats.org/officeDocument/2006/relationships/hyperlink" Target="https://hastra.io/terms" TargetMode="External"/><Relationship Id="rId194" Type="http://schemas.openxmlformats.org/officeDocument/2006/relationships/hyperlink" Target="https://docs.superstate.com/superstate-funds/uscc/income-fees-and-yield" TargetMode="External"/><Relationship Id="rId208" Type="http://schemas.openxmlformats.org/officeDocument/2006/relationships/hyperlink" Target="https://www.exodus.com/investors/sec-filings/all-sec-filings/content/0001821534-26-000009/descriptionofsecurities.htm" TargetMode="External"/><Relationship Id="rId261" Type="http://schemas.openxmlformats.org/officeDocument/2006/relationships/hyperlink" Target="https://www.sec.gov/Archives/edgar/data/917286/000113322825007435/0001133228-25-007435.txt" TargetMode="External"/><Relationship Id="rId14" Type="http://schemas.openxmlformats.org/officeDocument/2006/relationships/hyperlink" Target="https://usyc.docs.hashnote.com/overview/smart-contracts" TargetMode="External"/><Relationship Id="rId56" Type="http://schemas.openxmlformats.org/officeDocument/2006/relationships/hyperlink" Target="https://dataspanapi.wisdomtree.com/pdr/documents/WEBSITE_FUND_DETAILS/WDT/US/EN-US/WTGXX_3/" TargetMode="External"/><Relationship Id="rId317" Type="http://schemas.openxmlformats.org/officeDocument/2006/relationships/hyperlink" Target="https://mantleguard.com/" TargetMode="External"/><Relationship Id="rId359" Type="http://schemas.openxmlformats.org/officeDocument/2006/relationships/hyperlink" Target="https://t.me/s/midasrwa?before=191" TargetMode="External"/><Relationship Id="rId98" Type="http://schemas.openxmlformats.org/officeDocument/2006/relationships/hyperlink" Target="https://docs.ondo.finance/addresses" TargetMode="External"/><Relationship Id="rId121" Type="http://schemas.openxmlformats.org/officeDocument/2006/relationships/hyperlink" Target="https://www.businesswire.com/news/home/20240320771318/en/BlackRock-Launches-Its-First-Tokenized-Fund-BUIDL-on-the-Ethereum-Network" TargetMode="External"/><Relationship Id="rId163" Type="http://schemas.openxmlformats.org/officeDocument/2006/relationships/hyperlink" Target="https://www.franklintempleton.com/forms-literature/download-preview/9001-P" TargetMode="External"/><Relationship Id="rId219" Type="http://schemas.openxmlformats.org/officeDocument/2006/relationships/hyperlink" Target="https://www.exodus.com/investors/sec-filings/all-sec-filings/content/0001821534-26-000009/descriptionofsecurities.htm" TargetMode="External"/><Relationship Id="rId230" Type="http://schemas.openxmlformats.org/officeDocument/2006/relationships/hyperlink" Target="https://docs.theo.xyz/thbill" TargetMode="External"/><Relationship Id="rId25" Type="http://schemas.openxmlformats.org/officeDocument/2006/relationships/hyperlink" Target="https://superstate.com/assets/ustb" TargetMode="External"/><Relationship Id="rId46" Type="http://schemas.openxmlformats.org/officeDocument/2006/relationships/hyperlink" Target="https://dataspanapi.wisdomtree.com/pdr/documents/WEBSITE_FUND_DETAILS/WDT/US/EN-US/WTGXX_3/" TargetMode="External"/><Relationship Id="rId67" Type="http://schemas.openxmlformats.org/officeDocument/2006/relationships/hyperlink" Target="https://www.anemoy.io/funds/jaaa" TargetMode="External"/><Relationship Id="rId272" Type="http://schemas.openxmlformats.org/officeDocument/2006/relationships/hyperlink" Target="https://cdn.spiko.finance/legal_docs/EN/Prospectus_Spiko_SICAV_EN.pdf" TargetMode="External"/><Relationship Id="rId293" Type="http://schemas.openxmlformats.org/officeDocument/2006/relationships/hyperlink" Target="https://cdn.spiko.finance/legal_docs/EN/Prospectus_Spiko_SICAV_EN.pdf" TargetMode="External"/><Relationship Id="rId307" Type="http://schemas.openxmlformats.org/officeDocument/2006/relationships/hyperlink" Target="https://cdn.spiko.finance/legal_docs/EN/Prospectus_Spiko_SICAV_EN.pdf" TargetMode="External"/><Relationship Id="rId328" Type="http://schemas.openxmlformats.org/officeDocument/2006/relationships/hyperlink" Target="https://mantleguard.com/" TargetMode="External"/><Relationship Id="rId349" Type="http://schemas.openxmlformats.org/officeDocument/2006/relationships/hyperlink" Target="https://etherscan.io/token/0x238a700eD6165261Cf8b2e544ba797BC11e466Ba" TargetMode="External"/><Relationship Id="rId88" Type="http://schemas.openxmlformats.org/officeDocument/2006/relationships/hyperlink" Target="https://www.janushenderson.com/en-us/advisor/press-releases/janus-henderson-anemoy-treasury-fund-receives-highest-tokenized-fund-rating/" TargetMode="External"/><Relationship Id="rId111" Type="http://schemas.openxmlformats.org/officeDocument/2006/relationships/hyperlink" Target="https://docs.ondo.finance/qualified-access-products/ousg/yield" TargetMode="External"/><Relationship Id="rId132" Type="http://schemas.openxmlformats.org/officeDocument/2006/relationships/hyperlink" Target="https://www.businesswire.com/news/home/20240320771318/en/BlackRock-Launches-Its-First-Tokenized-Fund-BUIDL-on-the-Ethereum-Network" TargetMode="External"/><Relationship Id="rId153" Type="http://schemas.openxmlformats.org/officeDocument/2006/relationships/hyperlink" Target="https://www.franklintempleton.com/forms-literature/download-preview/9001-SAI" TargetMode="External"/><Relationship Id="rId174" Type="http://schemas.openxmlformats.org/officeDocument/2006/relationships/hyperlink" Target="https://www.binance.com/en/blog/vip/1487561092272022488" TargetMode="External"/><Relationship Id="rId195" Type="http://schemas.openxmlformats.org/officeDocument/2006/relationships/hyperlink" Target="https://docs.superstate.com/superstate-funds/uscc/income-fees-and-yield" TargetMode="External"/><Relationship Id="rId209" Type="http://schemas.openxmlformats.org/officeDocument/2006/relationships/hyperlink" Target="https://app.rwa.xyz/assets/EXODB" TargetMode="External"/><Relationship Id="rId220" Type="http://schemas.openxmlformats.org/officeDocument/2006/relationships/hyperlink" Target="https://www.exodus.com/investors/sec-filings/all-sec-filings/content/0001821534-26-000009/exod-20251231.htm" TargetMode="External"/><Relationship Id="rId241" Type="http://schemas.openxmlformats.org/officeDocument/2006/relationships/hyperlink" Target="https://docs.theo.xyz/user-guide" TargetMode="External"/><Relationship Id="rId15" Type="http://schemas.openxmlformats.org/officeDocument/2006/relationships/hyperlink" Target="https://usyc.docs.hashnote.com/" TargetMode="External"/><Relationship Id="rId36" Type="http://schemas.openxmlformats.org/officeDocument/2006/relationships/hyperlink" Target="https://superstate.com/assets/ustb" TargetMode="External"/><Relationship Id="rId57" Type="http://schemas.openxmlformats.org/officeDocument/2006/relationships/hyperlink" Target="https://www.bvifsc.vg/regulated-entities/anemoy-capital-spc-limited" TargetMode="External"/><Relationship Id="rId262" Type="http://schemas.openxmlformats.org/officeDocument/2006/relationships/hyperlink" Target="https://www.sec.gov/Archives/edgar/data/917286/000113322825007435/0001133228-25-007435.txt" TargetMode="External"/><Relationship Id="rId283" Type="http://schemas.openxmlformats.org/officeDocument/2006/relationships/hyperlink" Target="https://cdn.spiko.finance/legal_docs/EN/Prospectus_Spiko_SICAV_EN.pdf" TargetMode="External"/><Relationship Id="rId318" Type="http://schemas.openxmlformats.org/officeDocument/2006/relationships/hyperlink" Target="https://mantleguard.com/" TargetMode="External"/><Relationship Id="rId339" Type="http://schemas.openxmlformats.org/officeDocument/2006/relationships/hyperlink" Target="https://www.mfsa.mt/wp-content/uploads/2025/08/Midas-Software-GmbH-Base-Prospectus-Document-dated-17-July-2025.pdf" TargetMode="External"/><Relationship Id="rId78" Type="http://schemas.openxmlformats.org/officeDocument/2006/relationships/hyperlink" Target="https://app.rwa.xyz/assets/JAAA" TargetMode="External"/><Relationship Id="rId99" Type="http://schemas.openxmlformats.org/officeDocument/2006/relationships/hyperlink" Target="https://docs.ondo.finance/trust-and-security" TargetMode="External"/><Relationship Id="rId101" Type="http://schemas.openxmlformats.org/officeDocument/2006/relationships/hyperlink" Target="https://docs.ondo.finance/trust-and-security" TargetMode="External"/><Relationship Id="rId122" Type="http://schemas.openxmlformats.org/officeDocument/2006/relationships/hyperlink" Target="https://www.businesswire.com/news/home/20240320771318/en/BlackRock-Launches-Its-First-Tokenized-Fund-BUIDL-on-the-Ethereum-Network" TargetMode="External"/><Relationship Id="rId143" Type="http://schemas.openxmlformats.org/officeDocument/2006/relationships/hyperlink" Target="https://help.hastra.io/prime/what-is-prime-%28staked-wylds%29" TargetMode="External"/><Relationship Id="rId164" Type="http://schemas.openxmlformats.org/officeDocument/2006/relationships/hyperlink" Target="http://rwa.xyz/" TargetMode="External"/><Relationship Id="rId185" Type="http://schemas.openxmlformats.org/officeDocument/2006/relationships/hyperlink" Target="https://docs.superstate.com/superstate-funds/uscc/income-fees-and-yield" TargetMode="External"/><Relationship Id="rId350" Type="http://schemas.openxmlformats.org/officeDocument/2006/relationships/hyperlink" Target="https://www.mfsa.mt/wp-content/uploads/2025/08/Midas-Software-GmbH-Base-Prospectus-Document-dated-17-July-2025.pdf" TargetMode="External"/><Relationship Id="rId9" Type="http://schemas.openxmlformats.org/officeDocument/2006/relationships/hyperlink" Target="https://usyc.docs.hashnote.com/overview/service-providers" TargetMode="External"/><Relationship Id="rId210" Type="http://schemas.openxmlformats.org/officeDocument/2006/relationships/hyperlink" Target="https://www.exodus.com/investors/sec-filings/all-sec-filings/content/0001821534-26-000009/exod-20251231.htm" TargetMode="External"/><Relationship Id="rId26" Type="http://schemas.openxmlformats.org/officeDocument/2006/relationships/hyperlink" Target="https://docs.superstate.com/superstate-funds/ustb/redeeming-ustb" TargetMode="External"/><Relationship Id="rId231" Type="http://schemas.openxmlformats.org/officeDocument/2006/relationships/hyperlink" Target="https://docs.theo.xyz/user-guide" TargetMode="External"/><Relationship Id="rId252" Type="http://schemas.openxmlformats.org/officeDocument/2006/relationships/hyperlink" Target="https://www.sec.gov/Archives/edgar/data/917286/000113322825007435/0001133228-25-007435.txt" TargetMode="External"/><Relationship Id="rId273" Type="http://schemas.openxmlformats.org/officeDocument/2006/relationships/hyperlink" Target="https://cdn.spiko.finance/legal_docs/EN/Prospectus_Spiko_SICAV_EN.pdf" TargetMode="External"/><Relationship Id="rId294" Type="http://schemas.openxmlformats.org/officeDocument/2006/relationships/hyperlink" Target="https://cdn.spiko.finance/legal_docs/EN/Prospectus_Spiko_SICAV_EN.pdf" TargetMode="External"/><Relationship Id="rId308" Type="http://schemas.openxmlformats.org/officeDocument/2006/relationships/hyperlink" Target="https://cdn.spiko.finance/legal_docs/EN/KID_USTBL_EN.pdf" TargetMode="External"/><Relationship Id="rId329" Type="http://schemas.openxmlformats.org/officeDocument/2006/relationships/hyperlink" Target="https://mantleguard.com/blog/mi4-launches-with-securitize-as-tokenization-partner-and-mantle-treasury-as-anchor-investor" TargetMode="External"/><Relationship Id="rId47" Type="http://schemas.openxmlformats.org/officeDocument/2006/relationships/hyperlink" Target="https://www.wisdomtree.com/-/media/us-media-files/documents/resource-library/fund-fact-sheets/digital/wtgxx.pdf" TargetMode="External"/><Relationship Id="rId68" Type="http://schemas.openxmlformats.org/officeDocument/2006/relationships/hyperlink" Target="https://etherscan.io/token/0x5a0F93D040De44e78F251b03c43be9CF317Dcf64" TargetMode="External"/><Relationship Id="rId89" Type="http://schemas.openxmlformats.org/officeDocument/2006/relationships/hyperlink" Target="https://www.anemoy.io/funds/jtrsy" TargetMode="External"/><Relationship Id="rId112" Type="http://schemas.openxmlformats.org/officeDocument/2006/relationships/hyperlink" Target="https://docs.ondo.finance/qualified-access-products/ousg/yield" TargetMode="External"/><Relationship Id="rId133" Type="http://schemas.openxmlformats.org/officeDocument/2006/relationships/hyperlink" Target="https://www.businesswire.com/news/home/20240320771318/en/BlackRock-Launches-Its-First-Tokenized-Fund-BUIDL-on-the-Ethereum-Network" TargetMode="External"/><Relationship Id="rId154" Type="http://schemas.openxmlformats.org/officeDocument/2006/relationships/hyperlink" Target="https://www.franklintempleton.com/forms-literature/download-preview/9001-SAI" TargetMode="External"/><Relationship Id="rId175" Type="http://schemas.openxmlformats.org/officeDocument/2006/relationships/hyperlink" Target="https://www.franklintempleton.com/forms-literature/download-preview/9001-P" TargetMode="External"/><Relationship Id="rId340" Type="http://schemas.openxmlformats.org/officeDocument/2006/relationships/hyperlink" Target="https://docs.midas.app/" TargetMode="External"/><Relationship Id="rId196" Type="http://schemas.openxmlformats.org/officeDocument/2006/relationships/hyperlink" Target="https://docs.superstate.com/superstate-funds/uscc" TargetMode="External"/><Relationship Id="rId200" Type="http://schemas.openxmlformats.org/officeDocument/2006/relationships/hyperlink" Target="https://docs.superstate.com/superstate-funds" TargetMode="External"/><Relationship Id="rId16" Type="http://schemas.openxmlformats.org/officeDocument/2006/relationships/hyperlink" Target="https://usyc.docs.hashnote.com/overview/token-price" TargetMode="External"/><Relationship Id="rId221" Type="http://schemas.openxmlformats.org/officeDocument/2006/relationships/hyperlink" Target="https://www.sec.gov/Archives/edgar/data/1821534/000114036124038633/ny20031698x3_1012ga.htm" TargetMode="External"/><Relationship Id="rId242" Type="http://schemas.openxmlformats.org/officeDocument/2006/relationships/hyperlink" Target="https://theo.xyz/articles/thbill-is-live-theo-s-institutional-grade-tokenized-money-market-fund" TargetMode="External"/><Relationship Id="rId263" Type="http://schemas.openxmlformats.org/officeDocument/2006/relationships/hyperlink" Target="https://www.sec.gov/Archives/edgar/data/917286/000113322825007435/0001133228-25-007435.txt" TargetMode="External"/><Relationship Id="rId284" Type="http://schemas.openxmlformats.org/officeDocument/2006/relationships/hyperlink" Target="https://cdn.spiko.finance/legal_docs/EN/Prospectus_Spiko_SICAV_EN.pdf" TargetMode="External"/><Relationship Id="rId319" Type="http://schemas.openxmlformats.org/officeDocument/2006/relationships/hyperlink" Target="https://mantleguard.com/blog/mi4-launches-with-securitize-as-tokenization-partner-and-mantle-treasury-as-anchor-investor" TargetMode="External"/><Relationship Id="rId37" Type="http://schemas.openxmlformats.org/officeDocument/2006/relationships/hyperlink" Target="https://docs.superstate.com/welcome-to-superstate/smart-contracts" TargetMode="External"/><Relationship Id="rId58" Type="http://schemas.openxmlformats.org/officeDocument/2006/relationships/hyperlink" Target="https://particula.io/rating-reports/particula-rating-report-anemoy-jaaa-november-2025" TargetMode="External"/><Relationship Id="rId79" Type="http://schemas.openxmlformats.org/officeDocument/2006/relationships/hyperlink" Target="https://www.anemoy.io/funds/jaaa" TargetMode="External"/><Relationship Id="rId102" Type="http://schemas.openxmlformats.org/officeDocument/2006/relationships/hyperlink" Target="https://docs.ondo.finance/qualified-access-products/ousg/overview" TargetMode="External"/><Relationship Id="rId123" Type="http://schemas.openxmlformats.org/officeDocument/2006/relationships/hyperlink" Target="https://www.businesswire.com/news/home/20240320771318/en/BlackRock-Launches-Its-First-Tokenized-Fund-BUIDL-on-the-Ethereum-Network" TargetMode="External"/><Relationship Id="rId144" Type="http://schemas.openxmlformats.org/officeDocument/2006/relationships/hyperlink" Target="https://help.hastra.io/about-hastra/understanding-wylds-and-prime%3A-hastra%27s-stablecoin-ecosystem" TargetMode="External"/><Relationship Id="rId330" Type="http://schemas.openxmlformats.org/officeDocument/2006/relationships/hyperlink" Target="https://mantleguard.com/" TargetMode="External"/><Relationship Id="rId90" Type="http://schemas.openxmlformats.org/officeDocument/2006/relationships/hyperlink" Target="https://docs.centrifuge.io/user/concepts/share-tokens/" TargetMode="External"/><Relationship Id="rId165" Type="http://schemas.openxmlformats.org/officeDocument/2006/relationships/hyperlink" Target="http://rwa.xyz/" TargetMode="External"/><Relationship Id="rId186" Type="http://schemas.openxmlformats.org/officeDocument/2006/relationships/hyperlink" Target="https://docs.superstate.com/superstate-funds/uscc/income-fees-and-yield" TargetMode="External"/><Relationship Id="rId351" Type="http://schemas.openxmlformats.org/officeDocument/2006/relationships/hyperlink" Target="https://www.mfsa.mt/wp-content/uploads/2025/08/Midas-Software-GmbH-Base-Prospectus-Document-dated-17-July-2025.pdf" TargetMode="External"/><Relationship Id="rId211" Type="http://schemas.openxmlformats.org/officeDocument/2006/relationships/hyperlink" Target="https://www.exodus.com/investors/sec-filings/all-sec-filings/content/0001821534-26-000009/exod-20251231.htm" TargetMode="External"/><Relationship Id="rId232" Type="http://schemas.openxmlformats.org/officeDocument/2006/relationships/hyperlink" Target="https://docs.theo.xyz/thbill" TargetMode="External"/><Relationship Id="rId253" Type="http://schemas.openxmlformats.org/officeDocument/2006/relationships/hyperlink" Target="https://www.sec.gov/Archives/edgar/data/917286/000113322825007437/ftdf-efp16750_497k.htm" TargetMode="External"/><Relationship Id="rId274" Type="http://schemas.openxmlformats.org/officeDocument/2006/relationships/hyperlink" Target="https://cdn.spiko.finance/legal_docs/EN/Prospectus_Spiko_SICAV_EN.pdf" TargetMode="External"/><Relationship Id="rId295" Type="http://schemas.openxmlformats.org/officeDocument/2006/relationships/hyperlink" Target="https://cdn.spiko.finance/legal_docs/EN/Prospectus_Spiko_SICAV_EN.pdf" TargetMode="External"/><Relationship Id="rId309" Type="http://schemas.openxmlformats.org/officeDocument/2006/relationships/hyperlink" Target="https://cdn.spiko.finance/legal_docs/EN/Prospectus_Spiko_SICAV_EN.pdf" TargetMode="External"/><Relationship Id="rId27" Type="http://schemas.openxmlformats.org/officeDocument/2006/relationships/hyperlink" Target="https://docs.superstate.com/superstate-funds/ustb/income-fees-and-yield" TargetMode="External"/><Relationship Id="rId48" Type="http://schemas.openxmlformats.org/officeDocument/2006/relationships/hyperlink" Target="https://etherscan.io/token/0x1fecf3d9d4fee7f2c02917a66028a48c6706c179" TargetMode="External"/><Relationship Id="rId69" Type="http://schemas.openxmlformats.org/officeDocument/2006/relationships/hyperlink" Target="https://www.anemoy.io/funds/jaaa" TargetMode="External"/><Relationship Id="rId113" Type="http://schemas.openxmlformats.org/officeDocument/2006/relationships/hyperlink" Target="https://docs.ondo.finance/qualified-access-products/ousg/overview" TargetMode="External"/><Relationship Id="rId134" Type="http://schemas.openxmlformats.org/officeDocument/2006/relationships/hyperlink" Target="https://www.sec.gov/Archives/edgar/data/2013810/000201439024000001/xslFormDX01/primary_doc.xml" TargetMode="External"/><Relationship Id="rId320" Type="http://schemas.openxmlformats.org/officeDocument/2006/relationships/hyperlink" Target="https://mantleguard.com/" TargetMode="External"/><Relationship Id="rId80" Type="http://schemas.openxmlformats.org/officeDocument/2006/relationships/hyperlink" Target="https://www.anemoy.io/funds/jtrsy" TargetMode="External"/><Relationship Id="rId155" Type="http://schemas.openxmlformats.org/officeDocument/2006/relationships/hyperlink" Target="https://www.franklintempleton.com/forms-literature/download-preview/9001-SAI" TargetMode="External"/><Relationship Id="rId176" Type="http://schemas.openxmlformats.org/officeDocument/2006/relationships/hyperlink" Target="https://www.franklintempleton.com/forms-literature/download-preview/9001-P" TargetMode="External"/><Relationship Id="rId197" Type="http://schemas.openxmlformats.org/officeDocument/2006/relationships/hyperlink" Target="https://superstate.com/assets/uscc" TargetMode="External"/><Relationship Id="rId341" Type="http://schemas.openxmlformats.org/officeDocument/2006/relationships/hyperlink" Target="https://docs.midas.app/legal/legal-structure" TargetMode="External"/><Relationship Id="rId201" Type="http://schemas.openxmlformats.org/officeDocument/2006/relationships/hyperlink" Target="https://www.exodus.com/investors/sec-filings/all-sec-filingS/content/0001193125-25-314369/exod-20251208.htm" TargetMode="External"/><Relationship Id="rId222" Type="http://schemas.openxmlformats.org/officeDocument/2006/relationships/hyperlink" Target="https://app.rwa.xyz/assets/EXODB" TargetMode="External"/><Relationship Id="rId243" Type="http://schemas.openxmlformats.org/officeDocument/2006/relationships/hyperlink" Target="https://docs.theo.xyz/thbill" TargetMode="External"/><Relationship Id="rId264" Type="http://schemas.openxmlformats.org/officeDocument/2006/relationships/hyperlink" Target="https://www.sec.gov/Archives/edgar/data/917286/000113322825007435/0001133228-25-007435.txt" TargetMode="External"/><Relationship Id="rId285" Type="http://schemas.openxmlformats.org/officeDocument/2006/relationships/hyperlink" Target="https://www.spiko.io/spiko-treasury-bills-euro" TargetMode="External"/><Relationship Id="rId17" Type="http://schemas.openxmlformats.org/officeDocument/2006/relationships/hyperlink" Target="https://usyc.docs.hashnote.com/overview/smart-contracts" TargetMode="External"/><Relationship Id="rId38" Type="http://schemas.openxmlformats.org/officeDocument/2006/relationships/hyperlink" Target="https://docs.superstate.com/superstate-funds/ustb/income-fees-and-yield" TargetMode="External"/><Relationship Id="rId59" Type="http://schemas.openxmlformats.org/officeDocument/2006/relationships/hyperlink" Target="https://www.anemoy.io/funds/jaaa" TargetMode="External"/><Relationship Id="rId103" Type="http://schemas.openxmlformats.org/officeDocument/2006/relationships/hyperlink" Target="https://docs.ondo.finance/qualified-access-products/ousg/overview" TargetMode="External"/><Relationship Id="rId124" Type="http://schemas.openxmlformats.org/officeDocument/2006/relationships/hyperlink" Target="https://www.businesswire.com/news/home/20240320771318/en/BlackRock-Launches-Its-First-Tokenized-Fund-BUIDL-on-the-Ethereum-Network" TargetMode="External"/><Relationship Id="rId310" Type="http://schemas.openxmlformats.org/officeDocument/2006/relationships/hyperlink" Target="https://cdn.spiko.finance/legal_docs/EN/Prospectus_Spiko_SICAV_EN.pdf" TargetMode="External"/><Relationship Id="rId70" Type="http://schemas.openxmlformats.org/officeDocument/2006/relationships/hyperlink" Target="https://docs.centrifuge.io/user/concepts/share-tokens" TargetMode="External"/><Relationship Id="rId91" Type="http://schemas.openxmlformats.org/officeDocument/2006/relationships/hyperlink" Target="https://www.anemoy.io/funds/jtrsy" TargetMode="External"/><Relationship Id="rId145" Type="http://schemas.openxmlformats.org/officeDocument/2006/relationships/hyperlink" Target="https://help.hastra.io/prime/what-is-prime-%28staked-wylds%29" TargetMode="External"/><Relationship Id="rId166" Type="http://schemas.openxmlformats.org/officeDocument/2006/relationships/hyperlink" Target="https://app.rwa.xyz/assets/BENJI" TargetMode="External"/><Relationship Id="rId187" Type="http://schemas.openxmlformats.org/officeDocument/2006/relationships/hyperlink" Target="https://docs.superstate.com/superstate-funds/uscc/legal-structure" TargetMode="External"/><Relationship Id="rId331" Type="http://schemas.openxmlformats.org/officeDocument/2006/relationships/hyperlink" Target="https://mantleguard.com/" TargetMode="External"/><Relationship Id="rId352" Type="http://schemas.openxmlformats.org/officeDocument/2006/relationships/hyperlink" Target="https://docs.midas.app/legal/eligibility-and-compliance" TargetMode="External"/><Relationship Id="rId1" Type="http://schemas.openxmlformats.org/officeDocument/2006/relationships/hyperlink" Target="https://usyc.docs.hashnote.com/" TargetMode="External"/><Relationship Id="rId212" Type="http://schemas.openxmlformats.org/officeDocument/2006/relationships/hyperlink" Target="https://www.sec.gov/Archives/edgar/data/1821534/000114036124038633/ny20031698x3_1012ga.htm" TargetMode="External"/><Relationship Id="rId233" Type="http://schemas.openxmlformats.org/officeDocument/2006/relationships/hyperlink" Target="https://docs.theo.xyz/audits" TargetMode="External"/><Relationship Id="rId254" Type="http://schemas.openxmlformats.org/officeDocument/2006/relationships/hyperlink" Target="https://www.sec.gov/Archives/edgar/data/917286/000113322825007437/ftdf-efp16750_497k.htm" TargetMode="External"/><Relationship Id="rId28" Type="http://schemas.openxmlformats.org/officeDocument/2006/relationships/hyperlink" Target="https://superstate.com/assets/ustb" TargetMode="External"/><Relationship Id="rId49" Type="http://schemas.openxmlformats.org/officeDocument/2006/relationships/hyperlink" Target="https://dataspanapi.wisdomtree.com/pdr/documents/WEBSITE_FUND_DETAILS/WDT/US/EN-US/WTGXX_3/" TargetMode="External"/><Relationship Id="rId114" Type="http://schemas.openxmlformats.org/officeDocument/2006/relationships/hyperlink" Target="https://docs.ondo.finance/protocols" TargetMode="External"/><Relationship Id="rId275" Type="http://schemas.openxmlformats.org/officeDocument/2006/relationships/hyperlink" Target="https://cdn.spiko.finance/legal_docs/EN/Prospectus_Spiko_SICAV_EN.pdf" TargetMode="External"/><Relationship Id="rId296" Type="http://schemas.openxmlformats.org/officeDocument/2006/relationships/hyperlink" Target="https://cdn.spiko.finance/legal_docs/EN/Prospectus_Spiko_SICAV_EN.pdf" TargetMode="External"/><Relationship Id="rId300" Type="http://schemas.openxmlformats.org/officeDocument/2006/relationships/hyperlink" Target="https://www.spiko.io/spiko-treasury-bills-dollar" TargetMode="External"/><Relationship Id="rId60" Type="http://schemas.openxmlformats.org/officeDocument/2006/relationships/hyperlink" Target="https://app.rwa.xyz/assets/JAAA" TargetMode="External"/><Relationship Id="rId81" Type="http://schemas.openxmlformats.org/officeDocument/2006/relationships/hyperlink" Target="https://www.anemoy.io/funds/jtrsy" TargetMode="External"/><Relationship Id="rId135" Type="http://schemas.openxmlformats.org/officeDocument/2006/relationships/hyperlink" Target="https://www.prnewswire.com/news-releases/blackrock-usd-institutional-digital-liquidity-fund-buidl-tokenized-by-securitize-surpasses-1b-in-aum-302401480.html" TargetMode="External"/><Relationship Id="rId156" Type="http://schemas.openxmlformats.org/officeDocument/2006/relationships/hyperlink" Target="https://www.franklintempleton.com/forms-literature/download-preview/9001-SAI" TargetMode="External"/><Relationship Id="rId177" Type="http://schemas.openxmlformats.org/officeDocument/2006/relationships/hyperlink" Target="https://www.franklintempleton.com/forms-literature/download-preview/9001-P" TargetMode="External"/><Relationship Id="rId198" Type="http://schemas.openxmlformats.org/officeDocument/2006/relationships/hyperlink" Target="https://docs.superstate.com/welcome-to-superstate/smart-contracts" TargetMode="External"/><Relationship Id="rId321" Type="http://schemas.openxmlformats.org/officeDocument/2006/relationships/hyperlink" Target="https://www.sec.gov/Archives/edgar/data/2060423/000206042325000001/xslFormDX01/primary_doc.xml" TargetMode="External"/><Relationship Id="rId342" Type="http://schemas.openxmlformats.org/officeDocument/2006/relationships/hyperlink" Target="https://t.me/s/midasrwa?before=191" TargetMode="External"/><Relationship Id="rId202" Type="http://schemas.openxmlformats.org/officeDocument/2006/relationships/hyperlink" Target="https://www.exodus.com/investors/sec-filings/all-sec-filingS/content/0001193125-25-314369/exod-20251208.htm" TargetMode="External"/><Relationship Id="rId223" Type="http://schemas.openxmlformats.org/officeDocument/2006/relationships/hyperlink" Target="https://www.exodus.com/investors/sec-filings/all-sec-filings/content/0001140361-24-047915/ny20031698x9_1012ga.htm" TargetMode="External"/><Relationship Id="rId244" Type="http://schemas.openxmlformats.org/officeDocument/2006/relationships/hyperlink" Target="https://docs.theo.xyz/thbill" TargetMode="External"/><Relationship Id="rId18" Type="http://schemas.openxmlformats.org/officeDocument/2006/relationships/hyperlink" Target="https://insights.deribit.com/exchange-updates/deribit-introduces-hashnotes-usyc-as-new-yield-bearing-cross-margin-collateral-option/" TargetMode="External"/><Relationship Id="rId39" Type="http://schemas.openxmlformats.org/officeDocument/2006/relationships/hyperlink" Target="https://docs.superstate.com/welcome-to-superstate/onboarding" TargetMode="External"/><Relationship Id="rId265" Type="http://schemas.openxmlformats.org/officeDocument/2006/relationships/hyperlink" Target="https://www.sec.gov/Archives/edgar/data/917286/000113322825007435/0001133228-25-007435.txt" TargetMode="External"/><Relationship Id="rId286" Type="http://schemas.openxmlformats.org/officeDocument/2006/relationships/hyperlink" Target="https://cdn.spiko.finance/legal_docs/EN/Prospectus_Spiko_SICAV_EN.pdf" TargetMode="External"/><Relationship Id="rId50" Type="http://schemas.openxmlformats.org/officeDocument/2006/relationships/hyperlink" Target="https://www.wisdomtree.com/-/media/us-media-files/documents/resource-library/fund-fact-sheets/digital/wtgxx.pdf" TargetMode="External"/><Relationship Id="rId104" Type="http://schemas.openxmlformats.org/officeDocument/2006/relationships/hyperlink" Target="https://docs.ondo.finance/qualified-access-products/ousg/trust-and-transparency" TargetMode="External"/><Relationship Id="rId125" Type="http://schemas.openxmlformats.org/officeDocument/2006/relationships/hyperlink" Target="https://www.businesswire.com/news/home/20240320771318/en/BlackRock-Launches-Its-First-Tokenized-Fund-BUIDL-on-the-Ethereum-Network" TargetMode="External"/><Relationship Id="rId146" Type="http://schemas.openxmlformats.org/officeDocument/2006/relationships/hyperlink" Target="https://help.hastra.io/about-hastra/support" TargetMode="External"/><Relationship Id="rId167" Type="http://schemas.openxmlformats.org/officeDocument/2006/relationships/hyperlink" Target="https://www.franklintempleton.com/forms-literature/download-preview/9001-P" TargetMode="External"/><Relationship Id="rId188" Type="http://schemas.openxmlformats.org/officeDocument/2006/relationships/hyperlink" Target="https://docs.superstate.com/welcome-to-superstate/smart-contracts" TargetMode="External"/><Relationship Id="rId311" Type="http://schemas.openxmlformats.org/officeDocument/2006/relationships/hyperlink" Target="https://www.spiko.io/blog/spiko-morpho-sg-forge?refer=AE3136BFD9" TargetMode="External"/><Relationship Id="rId332" Type="http://schemas.openxmlformats.org/officeDocument/2006/relationships/hyperlink" Target="https://forum.mantle.xyz/t/passed-mip-32-mantle-enhanced-index-fund-governance-proposal/9104" TargetMode="External"/><Relationship Id="rId353" Type="http://schemas.openxmlformats.org/officeDocument/2006/relationships/hyperlink" Target="https://docs.midas.app/resources/smart-contracts-registry" TargetMode="External"/><Relationship Id="rId71" Type="http://schemas.openxmlformats.org/officeDocument/2006/relationships/hyperlink" Target="https://www.anemoy.io/funds/jaaa" TargetMode="External"/><Relationship Id="rId92" Type="http://schemas.openxmlformats.org/officeDocument/2006/relationships/hyperlink" Target="https://centrifuge.io/blog/centrifuge-aave-horizon" TargetMode="External"/><Relationship Id="rId213" Type="http://schemas.openxmlformats.org/officeDocument/2006/relationships/hyperlink" Target="https://www.exodus.com/investors/sec-filings/all-sec-filings/content/0001821534-26-000009/descriptionofsecurities.htm" TargetMode="External"/><Relationship Id="rId234" Type="http://schemas.openxmlformats.org/officeDocument/2006/relationships/hyperlink" Target="https://docs.theo.xyz/technical-reference/ttokens-and-itokens/itokens" TargetMode="External"/><Relationship Id="rId2" Type="http://schemas.openxmlformats.org/officeDocument/2006/relationships/hyperlink" Target="https://usyc.docs.hashnote.com/overview/product-structuring" TargetMode="External"/><Relationship Id="rId29" Type="http://schemas.openxmlformats.org/officeDocument/2006/relationships/hyperlink" Target="https://docs.superstate.com/welcome-to-superstate/smart-contracts" TargetMode="External"/><Relationship Id="rId255" Type="http://schemas.openxmlformats.org/officeDocument/2006/relationships/hyperlink" Target="https://www.sec.gov/Archives/edgar/data/917286/000113322825007435/0001133228-25-007435.txt" TargetMode="External"/><Relationship Id="rId276" Type="http://schemas.openxmlformats.org/officeDocument/2006/relationships/hyperlink" Target="https://cdn.spiko.finance/legal_docs/EN/KID_EUTBL_EN.pdf" TargetMode="External"/><Relationship Id="rId297" Type="http://schemas.openxmlformats.org/officeDocument/2006/relationships/hyperlink" Target="https://cdn.spiko.finance/legal_docs/EN/Prospectus_Spiko_SICAV_EN.pdf" TargetMode="External"/><Relationship Id="rId40" Type="http://schemas.openxmlformats.org/officeDocument/2006/relationships/hyperlink" Target="https://www.sec.gov/Archives/edgar/data/1859001/000121465924016339/ck0001859001-20240630a1v3.htm" TargetMode="External"/><Relationship Id="rId115" Type="http://schemas.openxmlformats.org/officeDocument/2006/relationships/hyperlink" Target="https://docs.ondo.finance/addresses" TargetMode="External"/><Relationship Id="rId136" Type="http://schemas.openxmlformats.org/officeDocument/2006/relationships/hyperlink" Target="https://www.businesswire.com/news/home/20240320771318/en/BlackRock-Launches-Its-First-Tokenized-Fund-BUIDL-on-the-Ethereum-Network" TargetMode="External"/><Relationship Id="rId157" Type="http://schemas.openxmlformats.org/officeDocument/2006/relationships/hyperlink" Target="https://www.franklintempleton.com/forms-literature/download-preview/9001-P" TargetMode="External"/><Relationship Id="rId178" Type="http://schemas.openxmlformats.org/officeDocument/2006/relationships/hyperlink" Target="https://superstate.com/assets/uscc" TargetMode="External"/><Relationship Id="rId301" Type="http://schemas.openxmlformats.org/officeDocument/2006/relationships/hyperlink" Target="https://www.spiko.io/spiko-treasury-bills-dollar" TargetMode="External"/><Relationship Id="rId322" Type="http://schemas.openxmlformats.org/officeDocument/2006/relationships/hyperlink" Target="https://mantleguard.com/" TargetMode="External"/><Relationship Id="rId343" Type="http://schemas.openxmlformats.org/officeDocument/2006/relationships/hyperlink" Target="https://www.mfsa.mt/wp-content/uploads/2025/08/Midas-Software-GmbH-Base-Prospectus-Document-dated-17-July-2025.pdf" TargetMode="External"/><Relationship Id="rId61" Type="http://schemas.openxmlformats.org/officeDocument/2006/relationships/hyperlink" Target="https://particula.io/rating-reports/particula-rating-report-anemoy-jaaa-november-2025" TargetMode="External"/><Relationship Id="rId82" Type="http://schemas.openxmlformats.org/officeDocument/2006/relationships/hyperlink" Target="https://centrifuge.io/blog/liquid-treasury-fund-partnership" TargetMode="External"/><Relationship Id="rId199" Type="http://schemas.openxmlformats.org/officeDocument/2006/relationships/hyperlink" Target="https://docs.superstate.com/superstate-funds/uscc/income-fees-and-yield" TargetMode="External"/><Relationship Id="rId203" Type="http://schemas.openxmlformats.org/officeDocument/2006/relationships/hyperlink" Target="https://www.exodus.com/investors/sec-filings/all-sec-filings/content/0001821534-26-000009/descriptionofsecurities.htm" TargetMode="External"/><Relationship Id="rId19" Type="http://schemas.openxmlformats.org/officeDocument/2006/relationships/hyperlink" Target="https://usyc.docs.hashnote.com/overview/smart-contracts" TargetMode="External"/><Relationship Id="rId224" Type="http://schemas.openxmlformats.org/officeDocument/2006/relationships/hyperlink" Target="https://docs.theo.xyz/legal/terms" TargetMode="External"/><Relationship Id="rId245" Type="http://schemas.openxmlformats.org/officeDocument/2006/relationships/hyperlink" Target="https://docs.theo.xyz/thbill" TargetMode="External"/><Relationship Id="rId266" Type="http://schemas.openxmlformats.org/officeDocument/2006/relationships/hyperlink" Target="https://www.sec.gov/Archives/edgar/data/917286/000113322825007435/0001133228-25-007435.txt" TargetMode="External"/><Relationship Id="rId287" Type="http://schemas.openxmlformats.org/officeDocument/2006/relationships/hyperlink" Target="https://cdn.spiko.finance/legal_docs/EN/Prospectus_Spiko_SICAV_EN.pdf" TargetMode="External"/><Relationship Id="rId30" Type="http://schemas.openxmlformats.org/officeDocument/2006/relationships/hyperlink" Target="https://superstate.com/assets/ustb" TargetMode="External"/><Relationship Id="rId105" Type="http://schemas.openxmlformats.org/officeDocument/2006/relationships/hyperlink" Target="https://docs.ondo.finance/qualified-access-products/ousg/overview" TargetMode="External"/><Relationship Id="rId126" Type="http://schemas.openxmlformats.org/officeDocument/2006/relationships/hyperlink" Target="https://www.businesswire.com/news/home/20240320771318/en/BlackRock-Launches-Its-First-Tokenized-Fund-BUIDL-on-the-Ethereum-Network" TargetMode="External"/><Relationship Id="rId147" Type="http://schemas.openxmlformats.org/officeDocument/2006/relationships/hyperlink" Target="https://app.rwa.xyz/assets/PRIME" TargetMode="External"/><Relationship Id="rId168" Type="http://schemas.openxmlformats.org/officeDocument/2006/relationships/hyperlink" Target="https://www.franklintempleton.com/forms-literature/download-preview/9001-P" TargetMode="External"/><Relationship Id="rId312" Type="http://schemas.openxmlformats.org/officeDocument/2006/relationships/hyperlink" Target="https://tech.spiko.io/posts/spiko-smart-contracts/" TargetMode="External"/><Relationship Id="rId333" Type="http://schemas.openxmlformats.org/officeDocument/2006/relationships/hyperlink" Target="https://www.sec.gov/Archives/edgar/data/2060423/000206042325000001/xslFormDX01/primary_doc.xml" TargetMode="External"/><Relationship Id="rId354" Type="http://schemas.openxmlformats.org/officeDocument/2006/relationships/hyperlink" Target="https://www.mfsa.mt/wp-content/uploads/2025/08/Midas-Software-GmbH-Base-Prospectus-Document-dated-17-July-2025.pdf" TargetMode="External"/><Relationship Id="rId51" Type="http://schemas.openxmlformats.org/officeDocument/2006/relationships/hyperlink" Target="https://dataspanapi.wisdomtree.com/pdr/documents/WEBSITE_FUND_DETAILS/WDT/US/EN-US/WTGXX_3/" TargetMode="External"/><Relationship Id="rId72" Type="http://schemas.openxmlformats.org/officeDocument/2006/relationships/hyperlink" Target="https://defillama.com/rwa/asset/JAAA" TargetMode="External"/><Relationship Id="rId93" Type="http://schemas.openxmlformats.org/officeDocument/2006/relationships/hyperlink" Target="https://docs.centrifuge.io/developer/protocol/overview/" TargetMode="External"/><Relationship Id="rId189" Type="http://schemas.openxmlformats.org/officeDocument/2006/relationships/hyperlink" Target="https://superstate.com/assets/uscc" TargetMode="External"/><Relationship Id="rId3" Type="http://schemas.openxmlformats.org/officeDocument/2006/relationships/hyperlink" Target="https://usyc.docs.hashnote.com/" TargetMode="External"/><Relationship Id="rId214" Type="http://schemas.openxmlformats.org/officeDocument/2006/relationships/hyperlink" Target="https://www.exodus.com/investors/sec-filings/all-sec-filings/content/0001821534-26-000009/descriptionofsecurities.htm" TargetMode="External"/><Relationship Id="rId235" Type="http://schemas.openxmlformats.org/officeDocument/2006/relationships/hyperlink" Target="https://etherscan.io/token/0x5FA487BCa6158c64046B2813623e20755091DA0b" TargetMode="External"/><Relationship Id="rId256" Type="http://schemas.openxmlformats.org/officeDocument/2006/relationships/hyperlink" Target="https://www.sec.gov/Archives/edgar/data/917286/000113322825007435/0001133228-25-007435.txt" TargetMode="External"/><Relationship Id="rId277" Type="http://schemas.openxmlformats.org/officeDocument/2006/relationships/hyperlink" Target="https://www.spiko.io/spiko-treasury-bills-euro" TargetMode="External"/><Relationship Id="rId298" Type="http://schemas.openxmlformats.org/officeDocument/2006/relationships/hyperlink" Target="https://cdn.spiko.finance/legal_docs/EN/Prospectus_Spiko_SICAV_EN.pdf" TargetMode="External"/><Relationship Id="rId116" Type="http://schemas.openxmlformats.org/officeDocument/2006/relationships/hyperlink" Target="https://docs.ondo.finance/qualified-access-products/ousg/fees-and-taxes" TargetMode="External"/><Relationship Id="rId137" Type="http://schemas.openxmlformats.org/officeDocument/2006/relationships/hyperlink" Target="https://www.businesswire.com/news/home/20240320771318/en/BlackRock-Launches-Its-First-Tokenized-Fund-BUIDL-on-the-Ethereum-Network" TargetMode="External"/><Relationship Id="rId158" Type="http://schemas.openxmlformats.org/officeDocument/2006/relationships/hyperlink" Target="https://www.franklintempleton.com/forms-literature/download-preview/9001-P" TargetMode="External"/><Relationship Id="rId302" Type="http://schemas.openxmlformats.org/officeDocument/2006/relationships/hyperlink" Target="https://tech.spiko.io/posts/spiko-smart-contracts/" TargetMode="External"/><Relationship Id="rId323" Type="http://schemas.openxmlformats.org/officeDocument/2006/relationships/hyperlink" Target="https://mantleguard.com/" TargetMode="External"/><Relationship Id="rId344" Type="http://schemas.openxmlformats.org/officeDocument/2006/relationships/hyperlink" Target="https://www.mfsa.mt/wp-content/uploads/2025/08/Midas-Software-GmbH-Base-Prospectus-Document-dated-17-July-2025.pdf" TargetMode="External"/><Relationship Id="rId20" Type="http://schemas.openxmlformats.org/officeDocument/2006/relationships/hyperlink" Target="https://usyc.docs.hashnote.com/overview/fees" TargetMode="External"/><Relationship Id="rId41" Type="http://schemas.openxmlformats.org/officeDocument/2006/relationships/hyperlink" Target="https://www.sec.gov/Archives/edgar/data/1859001/000121465925012990/wtd4485apospea8.htm" TargetMode="External"/><Relationship Id="rId62" Type="http://schemas.openxmlformats.org/officeDocument/2006/relationships/hyperlink" Target="https://www.anemoy.io/funds/jaaa" TargetMode="External"/><Relationship Id="rId83" Type="http://schemas.openxmlformats.org/officeDocument/2006/relationships/hyperlink" Target="https://forum.arbitrum.foundation/t/centrifuge-janus-henderson-anemoy-treasury-fund-jtrsy-step-ii-application/23496" TargetMode="External"/><Relationship Id="rId179" Type="http://schemas.openxmlformats.org/officeDocument/2006/relationships/hyperlink" Target="https://docs.superstate.com/superstate-funds/uscc/legal-structure" TargetMode="External"/><Relationship Id="rId190" Type="http://schemas.openxmlformats.org/officeDocument/2006/relationships/hyperlink" Target="https://docs.superstate.com/superstate-funds/uscc" TargetMode="External"/><Relationship Id="rId204" Type="http://schemas.openxmlformats.org/officeDocument/2006/relationships/hyperlink" Target="https://www.sec.gov/Archives/edgar/data/1821534/000114036124038633/ny20031698x3_1012ga.htm" TargetMode="External"/><Relationship Id="rId225" Type="http://schemas.openxmlformats.org/officeDocument/2006/relationships/hyperlink" Target="https://docs.theo.xyz/legal/terms" TargetMode="External"/><Relationship Id="rId246" Type="http://schemas.openxmlformats.org/officeDocument/2006/relationships/hyperlink" Target="https://www.sec.gov/Archives/edgar/data/917286/000113322825007435/0001133228-25-007435.txt" TargetMode="External"/><Relationship Id="rId267" Type="http://schemas.openxmlformats.org/officeDocument/2006/relationships/hyperlink" Target="https://www.sec.gov/Archives/edgar/data/917286/000113322825007437/ftdf-efp16750_497k.htm" TargetMode="External"/><Relationship Id="rId288" Type="http://schemas.openxmlformats.org/officeDocument/2006/relationships/hyperlink" Target="https://www.spiko.io/blog/spiko-morpho-sg-forge?refer=AE3136BFD9" TargetMode="External"/><Relationship Id="rId106" Type="http://schemas.openxmlformats.org/officeDocument/2006/relationships/hyperlink" Target="https://app.rwa.xyz/assets/OUSG" TargetMode="External"/><Relationship Id="rId127" Type="http://schemas.openxmlformats.org/officeDocument/2006/relationships/hyperlink" Target="https://www.businesswire.com/news/home/20240320771318/en/BlackRock-Launches-Its-First-Tokenized-Fund-BUIDL-on-the-Ethereum-Network" TargetMode="External"/><Relationship Id="rId313" Type="http://schemas.openxmlformats.org/officeDocument/2006/relationships/hyperlink" Target="https://cdn.spiko.finance/legal_docs/EN/Prospectus_Spiko_SICAV_EN.pdf" TargetMode="External"/><Relationship Id="rId10" Type="http://schemas.openxmlformats.org/officeDocument/2006/relationships/hyperlink" Target="https://usyc.docs.hashnote.com/" TargetMode="External"/><Relationship Id="rId31" Type="http://schemas.openxmlformats.org/officeDocument/2006/relationships/hyperlink" Target="https://docs.superstate.com/superstate-funds/ustb/redeeming-ustb" TargetMode="External"/><Relationship Id="rId52" Type="http://schemas.openxmlformats.org/officeDocument/2006/relationships/hyperlink" Target="https://dataspanapi.wisdomtree.com/pdr/documents/WEBSITE_FUND_DETAILS/WDT/US/EN-US/WTGXX_3/" TargetMode="External"/><Relationship Id="rId73" Type="http://schemas.openxmlformats.org/officeDocument/2006/relationships/hyperlink" Target="https://www.anemoy.io/funds/jaaa" TargetMode="External"/><Relationship Id="rId94" Type="http://schemas.openxmlformats.org/officeDocument/2006/relationships/hyperlink" Target="https://app.rwa.xyz/assets/JTRSY" TargetMode="External"/><Relationship Id="rId148" Type="http://schemas.openxmlformats.org/officeDocument/2006/relationships/hyperlink" Target="https://help.hastra.io/wylds/claim-your-yields" TargetMode="External"/><Relationship Id="rId169" Type="http://schemas.openxmlformats.org/officeDocument/2006/relationships/hyperlink" Target="https://www.franklintempleton.com/forms-literature/download-preview/9001-P" TargetMode="External"/><Relationship Id="rId334" Type="http://schemas.openxmlformats.org/officeDocument/2006/relationships/hyperlink" Target="https://mantleguard.com/blog/mi4-launches-with-securitize-as-tokenization-partner-and-mantle-treasury-as-anchor-investor" TargetMode="External"/><Relationship Id="rId355" Type="http://schemas.openxmlformats.org/officeDocument/2006/relationships/hyperlink" Target="https://docs.midas.app/transparency/pricing-of-the-mtoken" TargetMode="External"/><Relationship Id="rId4" Type="http://schemas.openxmlformats.org/officeDocument/2006/relationships/hyperlink" Target="https://usyc.docs.hashnote.com/overview/product-structuring" TargetMode="External"/><Relationship Id="rId180" Type="http://schemas.openxmlformats.org/officeDocument/2006/relationships/hyperlink" Target="https://docs.superstate.com/superstate-funds/uscc/legal-structure" TargetMode="External"/><Relationship Id="rId215" Type="http://schemas.openxmlformats.org/officeDocument/2006/relationships/hyperlink" Target="https://www.exodus.com/investors/sec-filings/all-sec-filings/content/0001140361-24-047915/ny20031698x9_1012ga.htm" TargetMode="External"/><Relationship Id="rId236" Type="http://schemas.openxmlformats.org/officeDocument/2006/relationships/hyperlink" Target="https://docs.theo.xyz/thbill" TargetMode="External"/><Relationship Id="rId257" Type="http://schemas.openxmlformats.org/officeDocument/2006/relationships/hyperlink" Target="https://etherscan.io/token/0x48ab4e39ac59f4e88974804b04a991b3a402717f" TargetMode="External"/><Relationship Id="rId278" Type="http://schemas.openxmlformats.org/officeDocument/2006/relationships/hyperlink" Target="https://www.spiko.io/spiko-treasury-bills-euro" TargetMode="External"/><Relationship Id="rId303" Type="http://schemas.openxmlformats.org/officeDocument/2006/relationships/hyperlink" Target="https://cdn.spiko.finance/legal_docs/EN/Prospectus_Spiko_SICAV_EN.pdf" TargetMode="External"/><Relationship Id="rId42" Type="http://schemas.openxmlformats.org/officeDocument/2006/relationships/hyperlink" Target="https://app.wisdomtreeconnect.com/web/order/terms-and-conditions" TargetMode="External"/><Relationship Id="rId84" Type="http://schemas.openxmlformats.org/officeDocument/2006/relationships/hyperlink" Target="https://www.anemoy.io/funds/jtrsy" TargetMode="External"/><Relationship Id="rId138" Type="http://schemas.openxmlformats.org/officeDocument/2006/relationships/hyperlink" Target="https://hastra.io/terms" TargetMode="External"/><Relationship Id="rId345" Type="http://schemas.openxmlformats.org/officeDocument/2006/relationships/hyperlink" Target="https://www.mfsa.mt/wp-content/uploads/2025/08/Midas-Software-GmbH-Base-Prospectus-Document-dated-17-July-2025.pdf" TargetMode="External"/><Relationship Id="rId191" Type="http://schemas.openxmlformats.org/officeDocument/2006/relationships/hyperlink" Target="https://docs.superstate.com/welcome-to-superstate/smart-contracts" TargetMode="External"/><Relationship Id="rId205" Type="http://schemas.openxmlformats.org/officeDocument/2006/relationships/hyperlink" Target="https://defillama.com/rwa/asset/EXODB" TargetMode="External"/><Relationship Id="rId247" Type="http://schemas.openxmlformats.org/officeDocument/2006/relationships/hyperlink" Target="https://www.sec.gov/Archives/edgar/data/917286/000113322825007435/0001133228-25-007435.txt" TargetMode="External"/><Relationship Id="rId107" Type="http://schemas.openxmlformats.org/officeDocument/2006/relationships/hyperlink" Target="https://docs.ondo.finance/qualified-access-products/ousg/redeeming" TargetMode="External"/><Relationship Id="rId289" Type="http://schemas.openxmlformats.org/officeDocument/2006/relationships/hyperlink" Target="https://tech.spiko.io/posts/spiko-smart-contracts/" TargetMode="External"/><Relationship Id="rId11" Type="http://schemas.openxmlformats.org/officeDocument/2006/relationships/hyperlink" Target="https://etherscan.io/token/0x136471a34f6ef19fE571EFFC1CA711fdb8E49f2b" TargetMode="External"/><Relationship Id="rId53" Type="http://schemas.openxmlformats.org/officeDocument/2006/relationships/hyperlink" Target="https://dataspanapi.wisdomtree.com/pdr/documents/WEBSITE_FUND_DETAILS/WDT/US/EN-US/WTGXX_3/" TargetMode="External"/><Relationship Id="rId149" Type="http://schemas.openxmlformats.org/officeDocument/2006/relationships/hyperlink" Target="https://help.hastra.io/prime/what-is-prime-%28staked-wylds%29" TargetMode="External"/><Relationship Id="rId314" Type="http://schemas.openxmlformats.org/officeDocument/2006/relationships/hyperlink" Target="https://tech.spiko.io/posts/spiko-smart-contracts/" TargetMode="External"/><Relationship Id="rId356" Type="http://schemas.openxmlformats.org/officeDocument/2006/relationships/hyperlink" Target="https://docs.midas.app/resources/smart-contracts-registry" TargetMode="External"/><Relationship Id="rId95" Type="http://schemas.openxmlformats.org/officeDocument/2006/relationships/hyperlink" Target="https://docs.ondo.finance/qualified-access-products/ousg/important-notes" TargetMode="External"/><Relationship Id="rId160" Type="http://schemas.openxmlformats.org/officeDocument/2006/relationships/hyperlink" Target="https://www.franklintempleton.com/forms-literature/download-preview/9001-P" TargetMode="External"/><Relationship Id="rId216" Type="http://schemas.openxmlformats.org/officeDocument/2006/relationships/hyperlink" Target="https://app.rwa.xyz/assets/EXODB" TargetMode="External"/><Relationship Id="rId258" Type="http://schemas.openxmlformats.org/officeDocument/2006/relationships/hyperlink" Target="https://www.sec.gov/Archives/edgar/data/917286/000113322825007437/ftdf-efp16750_497k.htm" TargetMode="External"/><Relationship Id="rId22" Type="http://schemas.openxmlformats.org/officeDocument/2006/relationships/hyperlink" Target="https://docs.superstate.com/superstate-funds/ustb/legal-structure" TargetMode="External"/><Relationship Id="rId64" Type="http://schemas.openxmlformats.org/officeDocument/2006/relationships/hyperlink" Target="https://www.anemoy.io/funds/jaaa" TargetMode="External"/><Relationship Id="rId118" Type="http://schemas.openxmlformats.org/officeDocument/2006/relationships/hyperlink" Target="https://www.sec.gov/Archives/edgar/data/2013810/000201439024000001/xslFormDX01/primary_doc.xml" TargetMode="External"/><Relationship Id="rId325" Type="http://schemas.openxmlformats.org/officeDocument/2006/relationships/hyperlink" Target="https://mantleguard.com/" TargetMode="External"/><Relationship Id="rId171" Type="http://schemas.openxmlformats.org/officeDocument/2006/relationships/hyperlink" Target="https://www.franklintempleton.com/forms-literature/download-preview/9001-P" TargetMode="External"/><Relationship Id="rId227" Type="http://schemas.openxmlformats.org/officeDocument/2006/relationships/hyperlink" Target="https://docs.theo.xyz/thbill/tultra" TargetMode="External"/><Relationship Id="rId269" Type="http://schemas.openxmlformats.org/officeDocument/2006/relationships/hyperlink" Target="https://cdn.spiko.finance/legal_docs/EN/Prospectus_Spiko_SICAV_EN.pdf" TargetMode="External"/><Relationship Id="rId33" Type="http://schemas.openxmlformats.org/officeDocument/2006/relationships/hyperlink" Target="https://docs.superstate.com/superstate-funds/ustb" TargetMode="External"/><Relationship Id="rId129" Type="http://schemas.openxmlformats.org/officeDocument/2006/relationships/hyperlink" Target="https://www.businesswire.com/news/home/20240320771318/en/BlackRock-Launches-Its-First-Tokenized-Fund-BUIDL-on-the-Ethereum-Network" TargetMode="External"/><Relationship Id="rId280" Type="http://schemas.openxmlformats.org/officeDocument/2006/relationships/hyperlink" Target="https://cdn.spiko.finance/legal_docs/EN/Prospectus_Spiko_SICAV_EN.pdf" TargetMode="External"/><Relationship Id="rId336" Type="http://schemas.openxmlformats.org/officeDocument/2006/relationships/hyperlink" Target="https://mantleguard.com/" TargetMode="External"/><Relationship Id="rId75" Type="http://schemas.openxmlformats.org/officeDocument/2006/relationships/hyperlink" Target="https://www.anemoy.io/funds/jaaa" TargetMode="External"/><Relationship Id="rId140" Type="http://schemas.openxmlformats.org/officeDocument/2006/relationships/hyperlink" Target="https://help.hastra.io/prime/what-is-prime-%28staked-wylds%29" TargetMode="External"/><Relationship Id="rId182" Type="http://schemas.openxmlformats.org/officeDocument/2006/relationships/hyperlink" Target="https://docs.superstate.com/superstate-funds/uscc/legal-structure" TargetMode="External"/><Relationship Id="rId6" Type="http://schemas.openxmlformats.org/officeDocument/2006/relationships/hyperlink" Target="https://usyc.docs.hashnote.com/overview/product-structuring" TargetMode="External"/><Relationship Id="rId238" Type="http://schemas.openxmlformats.org/officeDocument/2006/relationships/hyperlink" Target="https://docs.theo.xyz/user-guide" TargetMode="External"/><Relationship Id="rId291" Type="http://schemas.openxmlformats.org/officeDocument/2006/relationships/hyperlink" Target="https://tech.spiko.io/posts/spiko-smart-contracts/" TargetMode="External"/><Relationship Id="rId305" Type="http://schemas.openxmlformats.org/officeDocument/2006/relationships/hyperlink" Target="https://tech.spiko.io/posts/spiko-smart-contracts/" TargetMode="External"/><Relationship Id="rId347" Type="http://schemas.openxmlformats.org/officeDocument/2006/relationships/hyperlink" Target="https://docs.midas.app/resources/audits" TargetMode="External"/><Relationship Id="rId44" Type="http://schemas.openxmlformats.org/officeDocument/2006/relationships/hyperlink" Target="https://dataspanapi.wisdomtree.com/pdr/documents/WEBSITE_FUND_DETAILS/WDT/US/EN-US/WTGXX_3/" TargetMode="External"/><Relationship Id="rId86" Type="http://schemas.openxmlformats.org/officeDocument/2006/relationships/hyperlink" Target="https://docs.centrifuge.io/user/concepts/share-tokens/" TargetMode="External"/><Relationship Id="rId151" Type="http://schemas.openxmlformats.org/officeDocument/2006/relationships/hyperlink" Target="https://help.hastra.io/prime/what-is-prime-%28staked-wylds%29" TargetMode="External"/><Relationship Id="rId193" Type="http://schemas.openxmlformats.org/officeDocument/2006/relationships/hyperlink" Target="https://docs.superstate.com/superstate-funds" TargetMode="External"/><Relationship Id="rId207" Type="http://schemas.openxmlformats.org/officeDocument/2006/relationships/hyperlink" Target="https://app.rwa.xyz/assets/EXODB" TargetMode="External"/><Relationship Id="rId249" Type="http://schemas.openxmlformats.org/officeDocument/2006/relationships/hyperlink" Target="https://www.sec.gov/Archives/edgar/data/917286/000113322825007435/0001133228-25-007435.txt" TargetMode="External"/><Relationship Id="rId13" Type="http://schemas.openxmlformats.org/officeDocument/2006/relationships/hyperlink" Target="https://usyc.docs.hashnote.com/overview/product-structuring" TargetMode="External"/><Relationship Id="rId109" Type="http://schemas.openxmlformats.org/officeDocument/2006/relationships/hyperlink" Target="https://docs.ondo.finance/qualified-access-products/ousg/eligibility-and-onboarding" TargetMode="External"/><Relationship Id="rId260" Type="http://schemas.openxmlformats.org/officeDocument/2006/relationships/hyperlink" Target="https://www.sec.gov/Archives/edgar/data/917286/000113322825007435/0001133228-25-007435.txt" TargetMode="External"/><Relationship Id="rId316" Type="http://schemas.openxmlformats.org/officeDocument/2006/relationships/hyperlink" Target="https://mantleguard.com/blog/mi4-launches-with-securitize-as-tokenization-partner-and-mantle-treasury-as-anchor-investor" TargetMode="External"/><Relationship Id="rId55" Type="http://schemas.openxmlformats.org/officeDocument/2006/relationships/hyperlink" Target="https://dataspanapi.wisdomtree.com/pdr/documents/WEBSITE_FUND_DETAILS/WDT/US/EN-US/WTGXX_3/" TargetMode="External"/><Relationship Id="rId97" Type="http://schemas.openxmlformats.org/officeDocument/2006/relationships/hyperlink" Target="https://docs.ondo.finance/qualified-access-products/ousg/overview" TargetMode="External"/><Relationship Id="rId120" Type="http://schemas.openxmlformats.org/officeDocument/2006/relationships/hyperlink" Target="https://www.businesswire.com/news/home/20240320771318/en/BlackRock-Launches-Its-First-Tokenized-Fund-BUIDL-on-the-Ethereum-Network" TargetMode="External"/><Relationship Id="rId358" Type="http://schemas.openxmlformats.org/officeDocument/2006/relationships/hyperlink" Target="https://www.mfsa.mt/wp-content/uploads/2025/08/Midas-Software-GmbH-Base-Prospectus-Document-dated-17-July-2025.pdf" TargetMode="External"/><Relationship Id="rId162" Type="http://schemas.openxmlformats.org/officeDocument/2006/relationships/hyperlink" Target="https://www.franklintempleton.com/forms-literature/download-preview/9001-SAI" TargetMode="External"/><Relationship Id="rId218" Type="http://schemas.openxmlformats.org/officeDocument/2006/relationships/hyperlink" Target="https://www.exodus.com/investors/sec-filings/all-sec-filings/content/0001821534-26-000009/exod-20251231.htm" TargetMode="External"/><Relationship Id="rId271" Type="http://schemas.openxmlformats.org/officeDocument/2006/relationships/hyperlink" Target="https://cdn.spiko.finance/legal_docs/EN/Prospectus_Spiko_SICAV_EN.pdf" TargetMode="External"/><Relationship Id="rId24" Type="http://schemas.openxmlformats.org/officeDocument/2006/relationships/hyperlink" Target="https://docs.superstate.com/superstate-funds/ustb/legal-structure" TargetMode="External"/><Relationship Id="rId66" Type="http://schemas.openxmlformats.org/officeDocument/2006/relationships/hyperlink" Target="https://app.rwa.xyz/assets/JAAA" TargetMode="External"/><Relationship Id="rId131" Type="http://schemas.openxmlformats.org/officeDocument/2006/relationships/hyperlink" Target="https://www.businesswire.com/news/home/20240320771318/en/BlackRock-Launches-Its-First-Tokenized-Fund-BUIDL-on-the-Ethereum-Network" TargetMode="External"/><Relationship Id="rId327" Type="http://schemas.openxmlformats.org/officeDocument/2006/relationships/hyperlink" Target="https://mantleguard.com/" TargetMode="External"/><Relationship Id="rId173" Type="http://schemas.openxmlformats.org/officeDocument/2006/relationships/hyperlink" Target="https://www.franklintempleton.com/forms-literature/download-preview/9001-P" TargetMode="External"/><Relationship Id="rId229" Type="http://schemas.openxmlformats.org/officeDocument/2006/relationships/hyperlink" Target="https://docs.theo.xyz/legal/terms" TargetMode="External"/><Relationship Id="rId240" Type="http://schemas.openxmlformats.org/officeDocument/2006/relationships/hyperlink" Target="https://docs.theo.xyz/user-guide" TargetMode="External"/><Relationship Id="rId35" Type="http://schemas.openxmlformats.org/officeDocument/2006/relationships/hyperlink" Target="https://docs.superstate.com/welcome-to-superstate/smart-contracts" TargetMode="External"/><Relationship Id="rId77" Type="http://schemas.openxmlformats.org/officeDocument/2006/relationships/hyperlink" Target="https://docs.centrifuge.io/developer/protocol/overview/" TargetMode="External"/><Relationship Id="rId100" Type="http://schemas.openxmlformats.org/officeDocument/2006/relationships/hyperlink" Target="https://docs.ondo.finance/qualified-access-products/ousg/overview" TargetMode="External"/><Relationship Id="rId282" Type="http://schemas.openxmlformats.org/officeDocument/2006/relationships/hyperlink" Target="https://tech.spiko.io/posts/spiko-smart-contracts/" TargetMode="External"/><Relationship Id="rId338" Type="http://schemas.openxmlformats.org/officeDocument/2006/relationships/hyperlink" Target="https://www.mfsa.mt/wp-content/uploads/2025/08/Midas-Software-GmbH-Base-Prospectus-Document-dated-17-July-2025.pdf" TargetMode="External"/><Relationship Id="rId8" Type="http://schemas.openxmlformats.org/officeDocument/2006/relationships/hyperlink" Target="https://usyc.docs.hashnote.com/" TargetMode="External"/><Relationship Id="rId142" Type="http://schemas.openxmlformats.org/officeDocument/2006/relationships/hyperlink" Target="https://hastra.io/terms" TargetMode="External"/><Relationship Id="rId184" Type="http://schemas.openxmlformats.org/officeDocument/2006/relationships/hyperlink" Target="https://superstate.com/assets/uscc" TargetMode="External"/><Relationship Id="rId251" Type="http://schemas.openxmlformats.org/officeDocument/2006/relationships/hyperlink" Target="https://www.sec.gov/Archives/edgar/data/917286/000113322825007435/0001133228-25-007435.txt"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defillama.com/rw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E5C13-D8D6-4599-A420-2EDCEE47EEC3}">
  <dimension ref="A1:X5"/>
  <sheetViews>
    <sheetView showGridLines="0" tabSelected="1" zoomScale="64" workbookViewId="0">
      <selection activeCell="P3" sqref="P3"/>
    </sheetView>
  </sheetViews>
  <sheetFormatPr defaultRowHeight="14.5"/>
  <cols>
    <col min="1" max="1" width="16.453125" bestFit="1" customWidth="1"/>
    <col min="2" max="2" width="18.6328125" customWidth="1"/>
    <col min="3" max="3" width="19.1796875" customWidth="1"/>
    <col min="4" max="4" width="16.36328125" customWidth="1"/>
    <col min="5" max="5" width="28.81640625" customWidth="1"/>
    <col min="6" max="6" width="24.1796875" customWidth="1"/>
    <col min="7" max="7" width="11.90625" customWidth="1"/>
    <col min="8" max="8" width="24.1796875" customWidth="1"/>
    <col min="9" max="9" width="20.36328125" customWidth="1"/>
    <col min="10" max="10" width="25.7265625" customWidth="1"/>
    <col min="11" max="11" width="19.81640625" customWidth="1"/>
    <col min="12" max="12" width="16.54296875" customWidth="1"/>
    <col min="13" max="13" width="12.81640625" customWidth="1"/>
    <col min="14" max="14" width="17.81640625" customWidth="1"/>
    <col min="15" max="15" width="12.7265625" customWidth="1"/>
    <col min="16" max="16" width="21.36328125" customWidth="1"/>
    <col min="17" max="17" width="16.90625" customWidth="1"/>
    <col min="18" max="18" width="17.1796875" customWidth="1"/>
    <col min="19" max="19" width="20.81640625" customWidth="1"/>
    <col min="20" max="20" width="19.54296875" customWidth="1"/>
    <col min="21" max="21" width="13.54296875" customWidth="1"/>
    <col min="22" max="22" width="17.54296875" customWidth="1"/>
    <col min="23" max="23" width="12.26953125" customWidth="1"/>
    <col min="24" max="24" width="24.6328125" customWidth="1"/>
  </cols>
  <sheetData>
    <row r="1" spans="1:24" ht="55.5" customHeight="1" thickBot="1">
      <c r="A1" s="1" t="s">
        <v>2</v>
      </c>
      <c r="B1" s="98" t="s">
        <v>12</v>
      </c>
      <c r="C1" s="99"/>
      <c r="D1" s="100"/>
      <c r="E1" s="101" t="s">
        <v>30</v>
      </c>
      <c r="F1" s="99"/>
      <c r="G1" s="99"/>
      <c r="H1" s="99"/>
      <c r="I1" s="99"/>
      <c r="J1" s="99"/>
      <c r="K1" s="99"/>
      <c r="L1" s="100"/>
      <c r="M1" s="102" t="s">
        <v>65</v>
      </c>
      <c r="N1" s="99"/>
      <c r="O1" s="99"/>
      <c r="P1" s="99"/>
      <c r="Q1" s="99"/>
      <c r="R1" s="99"/>
      <c r="S1" s="99"/>
      <c r="T1" s="103" t="s">
        <v>85</v>
      </c>
      <c r="U1" s="103"/>
      <c r="V1" s="104"/>
      <c r="W1" s="105" t="s">
        <v>112</v>
      </c>
      <c r="X1" s="100"/>
    </row>
    <row r="2" spans="1:24" ht="44.5" customHeight="1" thickBot="1">
      <c r="A2" s="2" t="s">
        <v>3</v>
      </c>
      <c r="B2" s="3" t="s">
        <v>1124</v>
      </c>
      <c r="C2" s="3" t="s">
        <v>20</v>
      </c>
      <c r="D2" s="3" t="s">
        <v>25</v>
      </c>
      <c r="E2" s="4" t="s">
        <v>31</v>
      </c>
      <c r="F2" s="4" t="s">
        <v>36</v>
      </c>
      <c r="G2" s="4" t="s">
        <v>40</v>
      </c>
      <c r="H2" s="106" t="s">
        <v>1125</v>
      </c>
      <c r="I2" s="100"/>
      <c r="J2" s="4" t="s">
        <v>52</v>
      </c>
      <c r="K2" s="106" t="s">
        <v>1126</v>
      </c>
      <c r="L2" s="100"/>
      <c r="M2" s="5" t="s">
        <v>66</v>
      </c>
      <c r="N2" s="107" t="s">
        <v>1127</v>
      </c>
      <c r="O2" s="100"/>
      <c r="P2" s="5" t="s">
        <v>81</v>
      </c>
      <c r="Q2" s="5" t="s">
        <v>91</v>
      </c>
      <c r="R2" s="5" t="s">
        <v>95</v>
      </c>
      <c r="S2" s="5" t="s">
        <v>100</v>
      </c>
      <c r="T2" s="6" t="s">
        <v>108</v>
      </c>
      <c r="U2" s="6" t="s">
        <v>86</v>
      </c>
      <c r="V2" s="6" t="s">
        <v>103</v>
      </c>
      <c r="W2" s="7" t="s">
        <v>113</v>
      </c>
      <c r="X2" s="7" t="s">
        <v>1128</v>
      </c>
    </row>
    <row r="3" spans="1:24" ht="27" thickBot="1">
      <c r="A3" s="2" t="s">
        <v>1129</v>
      </c>
      <c r="B3" s="8" t="s">
        <v>13</v>
      </c>
      <c r="C3" s="9"/>
      <c r="D3" s="9"/>
      <c r="E3" s="10"/>
      <c r="F3" s="10"/>
      <c r="G3" s="10"/>
      <c r="H3" s="11" t="s">
        <v>43</v>
      </c>
      <c r="I3" s="11" t="s">
        <v>47</v>
      </c>
      <c r="J3" s="10"/>
      <c r="K3" s="12" t="s">
        <v>56</v>
      </c>
      <c r="L3" s="12" t="s">
        <v>61</v>
      </c>
      <c r="M3" s="13"/>
      <c r="N3" s="14" t="s">
        <v>72</v>
      </c>
      <c r="O3" s="14" t="s">
        <v>77</v>
      </c>
      <c r="P3" s="13"/>
      <c r="Q3" s="13"/>
      <c r="R3" s="13"/>
      <c r="S3" s="13"/>
      <c r="T3" s="15"/>
      <c r="U3" s="15"/>
      <c r="V3" s="15"/>
      <c r="W3" s="16"/>
      <c r="X3" s="17" t="s">
        <v>118</v>
      </c>
    </row>
    <row r="4" spans="1:24" ht="54.5" customHeight="1" thickBot="1">
      <c r="A4" s="2" t="s">
        <v>1130</v>
      </c>
      <c r="B4" s="18" t="s">
        <v>1131</v>
      </c>
      <c r="C4" s="18" t="s">
        <v>1132</v>
      </c>
      <c r="D4" s="18" t="s">
        <v>1550</v>
      </c>
      <c r="E4" s="19" t="s">
        <v>1133</v>
      </c>
      <c r="F4" s="19" t="s">
        <v>1134</v>
      </c>
      <c r="G4" s="19" t="s">
        <v>1135</v>
      </c>
      <c r="H4" s="19" t="s">
        <v>1136</v>
      </c>
      <c r="I4" s="18" t="s">
        <v>1137</v>
      </c>
      <c r="J4" s="18" t="s">
        <v>1138</v>
      </c>
      <c r="K4" s="18" t="s">
        <v>1139</v>
      </c>
      <c r="L4" s="18" t="s">
        <v>1140</v>
      </c>
      <c r="M4" s="18" t="s">
        <v>1141</v>
      </c>
      <c r="N4" s="18" t="s">
        <v>1142</v>
      </c>
      <c r="O4" s="18" t="s">
        <v>1143</v>
      </c>
      <c r="P4" s="18" t="s">
        <v>1144</v>
      </c>
      <c r="Q4" s="18" t="s">
        <v>1145</v>
      </c>
      <c r="R4" s="18" t="s">
        <v>1146</v>
      </c>
      <c r="S4" s="18" t="s">
        <v>1147</v>
      </c>
      <c r="T4" s="19" t="s">
        <v>1148</v>
      </c>
      <c r="U4" s="19" t="s">
        <v>1149</v>
      </c>
      <c r="V4" s="19" t="s">
        <v>1150</v>
      </c>
      <c r="W4" s="20" t="s">
        <v>1151</v>
      </c>
      <c r="X4" s="20" t="s">
        <v>1152</v>
      </c>
    </row>
    <row r="5" spans="1:24" ht="59" customHeight="1" thickBot="1">
      <c r="A5" s="2" t="s">
        <v>1153</v>
      </c>
      <c r="B5" s="18" t="s">
        <v>1154</v>
      </c>
      <c r="C5" s="18" t="s">
        <v>1155</v>
      </c>
      <c r="D5" s="18" t="s">
        <v>1156</v>
      </c>
      <c r="E5" s="18" t="s">
        <v>1157</v>
      </c>
      <c r="F5" s="18" t="s">
        <v>1158</v>
      </c>
      <c r="G5" s="18" t="s">
        <v>1159</v>
      </c>
      <c r="H5" s="18" t="s">
        <v>1160</v>
      </c>
      <c r="I5" s="18" t="s">
        <v>1161</v>
      </c>
      <c r="J5" s="18" t="s">
        <v>1162</v>
      </c>
      <c r="K5" s="19" t="s">
        <v>1163</v>
      </c>
      <c r="L5" s="18" t="s">
        <v>1164</v>
      </c>
      <c r="M5" s="18" t="s">
        <v>1165</v>
      </c>
      <c r="N5" s="18" t="s">
        <v>1166</v>
      </c>
      <c r="O5" s="18" t="s">
        <v>1167</v>
      </c>
      <c r="P5" s="18" t="s">
        <v>1168</v>
      </c>
      <c r="Q5" s="20" t="s">
        <v>1169</v>
      </c>
      <c r="R5" s="20" t="s">
        <v>1551</v>
      </c>
      <c r="S5" s="20" t="s">
        <v>1170</v>
      </c>
      <c r="T5" s="19" t="s">
        <v>1171</v>
      </c>
      <c r="U5" s="19" t="s">
        <v>1172</v>
      </c>
      <c r="V5" s="19" t="s">
        <v>1173</v>
      </c>
      <c r="W5" s="20" t="s">
        <v>1174</v>
      </c>
      <c r="X5" s="20" t="s">
        <v>1175</v>
      </c>
    </row>
  </sheetData>
  <mergeCells count="8">
    <mergeCell ref="H2:I2"/>
    <mergeCell ref="K2:L2"/>
    <mergeCell ref="N2:O2"/>
    <mergeCell ref="B1:D1"/>
    <mergeCell ref="E1:L1"/>
    <mergeCell ref="M1:S1"/>
    <mergeCell ref="T1:V1"/>
    <mergeCell ref="W1:X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97654-4CF8-4BC8-B97E-12535E64F31E}">
  <dimension ref="A1:AB992"/>
  <sheetViews>
    <sheetView zoomScale="78" workbookViewId="0">
      <selection activeCell="C4" sqref="C4"/>
    </sheetView>
  </sheetViews>
  <sheetFormatPr defaultRowHeight="14.5"/>
  <cols>
    <col min="1" max="5" width="19.08984375" customWidth="1"/>
    <col min="6" max="6" width="17.90625" customWidth="1"/>
    <col min="7" max="7" width="27.54296875" bestFit="1" customWidth="1"/>
    <col min="8" max="8" width="14.7265625" customWidth="1"/>
    <col min="9" max="9" width="41.54296875" bestFit="1" customWidth="1"/>
    <col min="10" max="10" width="21.1796875" customWidth="1"/>
    <col min="11" max="11" width="14.90625" customWidth="1"/>
    <col min="12" max="12" width="14.08984375" customWidth="1"/>
    <col min="13" max="13" width="15.7265625" customWidth="1"/>
    <col min="14" max="14" width="16.81640625" customWidth="1"/>
    <col min="15" max="15" width="14.453125" customWidth="1"/>
    <col min="16" max="16" width="14.08984375" customWidth="1"/>
    <col min="17" max="17" width="14.1796875" customWidth="1"/>
    <col min="18" max="18" width="12.81640625" customWidth="1"/>
    <col min="19" max="19" width="13.36328125" customWidth="1"/>
    <col min="20" max="20" width="15.453125" customWidth="1"/>
    <col min="21" max="21" width="15" customWidth="1"/>
    <col min="22" max="22" width="14.6328125" customWidth="1"/>
    <col min="23" max="23" width="17.08984375" customWidth="1"/>
    <col min="24" max="24" width="15.81640625" customWidth="1"/>
    <col min="25" max="26" width="14.36328125" customWidth="1"/>
    <col min="27" max="27" width="17.36328125" customWidth="1"/>
    <col min="28" max="28" width="69.90625" bestFit="1" customWidth="1"/>
  </cols>
  <sheetData>
    <row r="1" spans="1:28" ht="16" thickBot="1">
      <c r="A1" s="1" t="s">
        <v>2</v>
      </c>
      <c r="B1" s="108" t="s">
        <v>1176</v>
      </c>
      <c r="C1" s="109"/>
      <c r="D1" s="109"/>
      <c r="E1" s="110"/>
      <c r="F1" s="98" t="s">
        <v>12</v>
      </c>
      <c r="G1" s="99"/>
      <c r="H1" s="100"/>
      <c r="I1" s="101" t="s">
        <v>30</v>
      </c>
      <c r="J1" s="99"/>
      <c r="K1" s="99"/>
      <c r="L1" s="99"/>
      <c r="M1" s="99"/>
      <c r="N1" s="99"/>
      <c r="O1" s="99"/>
      <c r="P1" s="100"/>
      <c r="Q1" s="102" t="s">
        <v>65</v>
      </c>
      <c r="R1" s="99"/>
      <c r="S1" s="99"/>
      <c r="T1" s="99"/>
      <c r="U1" s="99"/>
      <c r="V1" s="99"/>
      <c r="W1" s="99"/>
      <c r="X1" s="103" t="s">
        <v>85</v>
      </c>
      <c r="Y1" s="103"/>
      <c r="Z1" s="104"/>
      <c r="AA1" s="105" t="s">
        <v>112</v>
      </c>
      <c r="AB1" s="100"/>
    </row>
    <row r="2" spans="1:28" ht="43" thickBot="1">
      <c r="A2" s="2" t="s">
        <v>3</v>
      </c>
      <c r="B2" s="111"/>
      <c r="C2" s="112"/>
      <c r="D2" s="112"/>
      <c r="E2" s="113"/>
      <c r="F2" s="3" t="s">
        <v>1124</v>
      </c>
      <c r="G2" s="3" t="s">
        <v>20</v>
      </c>
      <c r="H2" s="3" t="s">
        <v>25</v>
      </c>
      <c r="I2" s="4" t="s">
        <v>31</v>
      </c>
      <c r="J2" s="4" t="s">
        <v>36</v>
      </c>
      <c r="K2" s="4" t="s">
        <v>40</v>
      </c>
      <c r="L2" s="106" t="s">
        <v>1125</v>
      </c>
      <c r="M2" s="100"/>
      <c r="N2" s="4" t="s">
        <v>52</v>
      </c>
      <c r="O2" s="106" t="s">
        <v>1126</v>
      </c>
      <c r="P2" s="100"/>
      <c r="Q2" s="5" t="s">
        <v>66</v>
      </c>
      <c r="R2" s="107" t="s">
        <v>1127</v>
      </c>
      <c r="S2" s="100"/>
      <c r="T2" s="5" t="s">
        <v>81</v>
      </c>
      <c r="U2" s="5" t="s">
        <v>91</v>
      </c>
      <c r="V2" s="5" t="s">
        <v>95</v>
      </c>
      <c r="W2" s="5" t="s">
        <v>100</v>
      </c>
      <c r="X2" s="6" t="s">
        <v>108</v>
      </c>
      <c r="Y2" s="6" t="s">
        <v>86</v>
      </c>
      <c r="Z2" s="6" t="s">
        <v>103</v>
      </c>
      <c r="AA2" s="7" t="s">
        <v>113</v>
      </c>
      <c r="AB2" s="7" t="s">
        <v>1128</v>
      </c>
    </row>
    <row r="3" spans="1:28" ht="43" thickBot="1">
      <c r="A3" s="2" t="s">
        <v>1129</v>
      </c>
      <c r="B3" s="21" t="s">
        <v>0</v>
      </c>
      <c r="C3" s="22" t="s">
        <v>1675</v>
      </c>
      <c r="D3" s="23" t="s">
        <v>1177</v>
      </c>
      <c r="E3" s="24" t="s">
        <v>1178</v>
      </c>
      <c r="F3" s="8" t="s">
        <v>13</v>
      </c>
      <c r="G3" s="9"/>
      <c r="H3" s="9"/>
      <c r="I3" s="10"/>
      <c r="J3" s="10"/>
      <c r="K3" s="10"/>
      <c r="L3" s="11" t="s">
        <v>43</v>
      </c>
      <c r="M3" s="11" t="s">
        <v>47</v>
      </c>
      <c r="N3" s="10"/>
      <c r="O3" s="12" t="s">
        <v>56</v>
      </c>
      <c r="P3" s="12" t="s">
        <v>61</v>
      </c>
      <c r="Q3" s="13"/>
      <c r="R3" s="14" t="s">
        <v>72</v>
      </c>
      <c r="S3" s="14" t="s">
        <v>77</v>
      </c>
      <c r="T3" s="13"/>
      <c r="U3" s="13"/>
      <c r="V3" s="13"/>
      <c r="W3" s="13"/>
      <c r="X3" s="15"/>
      <c r="Y3" s="15"/>
      <c r="Z3" s="15"/>
      <c r="AA3" s="16"/>
      <c r="AB3" s="17" t="s">
        <v>118</v>
      </c>
    </row>
    <row r="4" spans="1:28" ht="15" thickBot="1">
      <c r="A4" s="114"/>
      <c r="B4">
        <v>1</v>
      </c>
      <c r="C4" t="s">
        <v>928</v>
      </c>
      <c r="D4" s="25">
        <v>46112</v>
      </c>
      <c r="E4">
        <v>1</v>
      </c>
      <c r="F4" t="str" cm="1">
        <f t="array" ref="F4">_xlfn.LET(
 _xlpm.project,TRIM($C4),
 _xlpm.attribute,TRIM(IF(F$3&lt;&gt;"",F$3,F$2)),
 _xlfn.XLOOKUP(
   1,
   (TRIM(Sources!$B$2:$B$461)=_xlpm.project)*(TRIM(Sources!$D$2:$D$461)=_xlpm.attribute),
   Sources!$E$2:$E$461,
   "UNKNOWN"
 )
)</f>
        <v>El Salvador</v>
      </c>
      <c r="G4" t="str" cm="1">
        <f t="array" ref="G4">_xlfn.LET(
 _xlpm.project,TRIM($C4),
 _xlpm.attribute,TRIM(IF(G$3&lt;&gt;"",G$3,G$2)),
 _xlfn.XLOOKUP(
   1,
   (TRIM(Sources!$B$2:$B$461)=_xlpm.project)*(TRIM(Sources!$D$2:$D$461)=_xlpm.attribute),
   Sources!$E$2:$E$461,
   "UNKNOWN"
 )
)</f>
        <v>Direct Issuer: SA de C.V.</v>
      </c>
      <c r="H4" t="str" cm="1">
        <f t="array" ref="H4">_xlfn.LET(
 _xlpm.project,TRIM($C4),
 _xlpm.attribute,TRIM(IF(H$3&lt;&gt;"",H$3,H$2)),
 _xlfn.XLOOKUP(
   1,
   (TRIM(Sources!$B$2:$B$461)=_xlpm.project)*(TRIM(Sources!$D$2:$D$461)=_xlpm.attribute),
   Sources!$E$2:$E$461,
   "UNKNOWN"
 )
)</f>
        <v>N/A</v>
      </c>
      <c r="I4" t="str" cm="1">
        <f t="array" ref="I4">_xlfn.LET(
 _xlpm.project,TRIM($C4),
 _xlpm.attribute,TRIM(IF(I$3&lt;&gt;"",I$3,I$2)),
 _xlfn.XLOOKUP(
   1,
   (TRIM(Sources!$B$2:$B$461)=_xlpm.project)*(TRIM(Sources!$D$2:$D$461)=_xlpm.attribute),
   Sources!$E$2:$E$461,
   "UNKNOWN"
 )
)</f>
        <v>Vault storage (physical assets)</v>
      </c>
      <c r="J4" t="str" cm="1">
        <f t="array" ref="J4">_xlfn.LET(
 _xlpm.project,TRIM($C4),
 _xlpm.attribute,TRIM(IF(J$3&lt;&gt;"",J$3,J$2)),
 _xlfn.XLOOKUP(
   1,
   (TRIM(Sources!$B$2:$B$461)=_xlpm.project)*(TRIM(Sources!$D$2:$D$461)=_xlpm.attribute),
   Sources!$E$2:$E$461,
   "UNKNOWN"
 )
)</f>
        <v>Beneficial ownership (custodian holds legal title on behalf of user)</v>
      </c>
      <c r="K4" t="str" cm="1">
        <f t="array" ref="K4">_xlfn.LET(
 _xlpm.project,TRIM($C4),
 _xlpm.attribute,TRIM(IF(K$3&lt;&gt;"",K$3,K$2)),
 _xlfn.XLOOKUP(
   1,
   (TRIM(Sources!$B$2:$B$461)=_xlpm.project)*(TRIM(Sources!$D$2:$D$461)=_xlpm.attribute),
   Sources!$E$2:$E$461,
   "UNKNOWN"
 )
)</f>
        <v>CPR Arbitration; BVI law</v>
      </c>
      <c r="L4" t="str" cm="1">
        <f t="array" ref="L4">_xlfn.LET(
 _xlpm.project,TRIM($C4),
 _xlpm.attribute,TRIM(IF(L$3&lt;&gt;"",L$3,L$2)),
 _xlfn.XLOOKUP(
   1,
   (TRIM(Sources!$B$2:$B$461)=_xlpm.project)*(TRIM(Sources!$D$2:$D$461)=_xlpm.attribute),
   Sources!$E$2:$E$461,
   "UNKNOWN"
 )
)</f>
        <v>Direct Claim on asset</v>
      </c>
      <c r="M4" t="str" cm="1">
        <f t="array" ref="M4">_xlfn.LET(
 _xlpm.project,TRIM($C4),
 _xlpm.attribute,TRIM(IF(M$3&lt;&gt;"",M$3,M$2)),
 _xlfn.XLOOKUP(
   1,
   (TRIM(Sources!$B$2:$B$461)=_xlpm.project)*(TRIM(Sources!$D$2:$D$461)=_xlpm.attribute),
   Sources!$E$2:$E$461,
   "UNKNOWN"
 )
)</f>
        <v>Redemption right</v>
      </c>
      <c r="N4" t="str" cm="1">
        <f t="array" ref="N4">_xlfn.LET(
 _xlpm.project,TRIM($C4),
 _xlpm.attribute,TRIM(IF(N$3&lt;&gt;"",N$3,N$2)),
 _xlfn.XLOOKUP(
   1,
   (TRIM(Sources!$B$2:$B$461)=_xlpm.project)*(TRIM(Sources!$D$2:$D$461)=_xlpm.attribute),
   Sources!$E$2:$E$461,
   "UNKNOWN"
 )
)</f>
        <v>Commodity (GOLD)</v>
      </c>
      <c r="O4" t="str" cm="1">
        <f t="array" ref="O4">_xlfn.LET(
 _xlpm.project,TRIM($C4),
 _xlpm.attribute,TRIM(IF(O$3&lt;&gt;"",O$3,O$2)),
 _xlfn.XLOOKUP(
   1,
   (TRIM(Sources!$B$2:$B$461)=_xlpm.project)*(TRIM(Sources!$D$2:$D$461)=_xlpm.attribute),
   Sources!$E$2:$E$461,
   "UNKNOWN"
 )
)</f>
        <v>Yes; quarterly; https://tether.to/en/transparency</v>
      </c>
      <c r="P4" t="str" cm="1">
        <f t="array" ref="P4">_xlfn.LET(
 _xlpm.project,TRIM($C4),
 _xlpm.attribute,TRIM(IF(P$3&lt;&gt;"",P$3,P$2)),
 _xlfn.XLOOKUP(
   1,
   (TRIM(Sources!$B$2:$B$461)=_xlpm.project)*(TRIM(Sources!$D$2:$D$461)=_xlpm.attribute),
   Sources!$E$2:$E$461,
   "UNKNOWN"
 )
)</f>
        <v>other</v>
      </c>
      <c r="Q4" t="str" cm="1">
        <f t="array" ref="Q4">_xlfn.LET(
 _xlpm.project,TRIM($C4),
 _xlpm.attribute,TRIM(IF(Q$3&lt;&gt;"",Q$3,Q$2)),
 _xlfn.XLOOKUP(
   1,
   (TRIM(Sources!$B$2:$B$461)=_xlpm.project)*(TRIM(Sources!$D$2:$D$461)=_xlpm.attribute),
   Sources!$E$2:$E$461,
   "UNKNOWN"
 )
)</f>
        <v>Fractionalized</v>
      </c>
      <c r="R4" t="str" cm="1">
        <f t="array" ref="R4">_xlfn.LET(
 _xlpm.project,TRIM($C4),
 _xlpm.attribute,TRIM(IF(R$3&lt;&gt;"",R$3,R$2)),
 _xlfn.XLOOKUP(
   1,
   (TRIM(Sources!$B$2:$B$461)=_xlpm.project)*(TRIM(Sources!$D$2:$D$461)=_xlpm.attribute),
   Sources!$E$2:$E$461,
   "UNKNOWN"
 )
)</f>
        <v>Combination</v>
      </c>
      <c r="S4" t="str" cm="1">
        <f t="array" ref="S4">_xlfn.LET(
 _xlpm.project,TRIM($C4),
 _xlpm.attribute,TRIM(IF(S$3&lt;&gt;"",S$3,S$2)),
 _xlfn.XLOOKUP(
   1,
   (TRIM(Sources!$B$2:$B$461)=_xlpm.project)*(TRIM(Sources!$D$2:$D$461)=_xlpm.attribute),
   Sources!$E$2:$E$461,
   "UNKNOWN"
 )
)</f>
        <v xml:space="preserve">Yes </v>
      </c>
      <c r="T4" t="str" cm="1">
        <f t="array" ref="T4">_xlfn.LET(
 _xlpm.project,TRIM($C4),
 _xlpm.attribute,TRIM(IF(T$3&lt;&gt;"",T$3,T$2)),
 _xlfn.XLOOKUP(
   1,
   (TRIM(Sources!$B$2:$B$461)=_xlpm.project)*(TRIM(Sources!$D$2:$D$461)=_xlpm.attribute),
   Sources!$E$2:$E$461,
   "UNKNOWN"
 )
)</f>
        <v>Unrestricted with issuer freeze capability</v>
      </c>
      <c r="U4" t="str" cm="1">
        <f t="array" ref="U4">_xlfn.LET(
 _xlpm.project,TRIM($C4),
 _xlpm.attribute,TRIM(IF(U$3&lt;&gt;"",U$3,U$2)),
 _xlfn.XLOOKUP(
   1,
   (TRIM(Sources!$B$2:$B$461)=_xlpm.project)*(TRIM(Sources!$D$2:$D$461)=_xlpm.attribute),
   Sources!$E$2:$E$461,
   "UNKNOWN"
 )
)</f>
        <v>UNKNOWN</v>
      </c>
      <c r="V4" t="str" cm="1">
        <f t="array" ref="V4">_xlfn.LET(
 _xlpm.project,TRIM($C4),
 _xlpm.attribute,TRIM(IF(V$3&lt;&gt;"",V$3,V$2)),
 _xlfn.XLOOKUP(
   1,
   (TRIM(Sources!$B$2:$B$461)=_xlpm.project)*(TRIM(Sources!$D$2:$D$461)=_xlpm.attribute),
   Sources!$E$2:$E$461,
   "UNKNOWN"
 )
)</f>
        <v>UNKNOWN</v>
      </c>
      <c r="W4" t="str" cm="1">
        <f t="array" ref="W4">_xlfn.LET(
 _xlpm.project,TRIM($C4),
 _xlpm.attribute,TRIM(IF(W$3&lt;&gt;"",W$3,W$2)),
 _xlfn.XLOOKUP(
   1,
   (TRIM(Sources!$B$2:$B$461)=_xlpm.project)*(TRIM(Sources!$D$2:$D$461)=_xlpm.attribute),
   Sources!$E$2:$E$461,
   "UNKNOWN"
 )
)</f>
        <v>Uncapped</v>
      </c>
      <c r="X4" t="str" cm="1">
        <f t="array" ref="X4">_xlfn.LET(
 _xlpm.project,TRIM($C4),
 _xlpm.attribute,TRIM(IF(X$3&lt;&gt;"",X$3,X$2)),
 _xlfn.XLOOKUP(
   1,
   (TRIM(Sources!$B$2:$B$461)=_xlpm.project)*(TRIM(Sources!$D$2:$D$461)=_xlpm.attribute),
   Sources!$E$2:$E$461,
   "UNKNOWN"
 )
)</f>
        <v>Token component: ERC-20 transfer/storage, circulation tracking/reporting, mint/burn/freeze/unfreeze/revoke privileged functions. Asset component: gold-bar lookup and reserve matching are supported by the product but custody and reserve operations remain off-chain. Economy component: primary purchase/redemption workflow is issuer-operated/off-chain, with on-chain token transfer/removal. Governance component: none identified.</v>
      </c>
      <c r="Y4" t="str" cm="1">
        <f t="array" ref="Y4">_xlfn.LET(
 _xlpm.project,TRIM($C4),
 _xlpm.attribute,TRIM(IF(Y$3&lt;&gt;"",Y$3,Y$2)),
 _xlfn.XLOOKUP(
   1,
   (TRIM(Sources!$B$2:$B$461)=_xlpm.project)*(TRIM(Sources!$D$2:$D$461)=_xlpm.attribute),
   Sources!$E$2:$E$461,
   "UNKNOWN"
 )
)</f>
        <v>Ethereum</v>
      </c>
      <c r="Z4" t="str" cm="1">
        <f t="array" ref="Z4">_xlfn.LET(
 _xlpm.project,TRIM($C4),
 _xlpm.attribute,TRIM(IF(Z$3&lt;&gt;"",Z$3,Z$2)),
 _xlfn.XLOOKUP(
   1,
   (TRIM(Sources!$B$2:$B$461)=_xlpm.project)*(TRIM(Sources!$D$2:$D$461)=_xlpm.attribute),
   Sources!$E$2:$E$461,
   "UNKNOWN"
 )
)</f>
        <v>Collateral</v>
      </c>
      <c r="AA4" t="str" cm="1">
        <f t="array" ref="AA4">_xlfn.LET(
 _xlpm.project,TRIM($C4),
 _xlpm.attribute,TRIM(IF(AA$3&lt;&gt;"",AA$3,AA$2)),
 _xlfn.XLOOKUP(
   1,
   (TRIM(Sources!$B$2:$B$461)=_xlpm.project)*(TRIM(Sources!$D$2:$D$461)=_xlpm.attribute),
   Sources!$E$2:$E$461,
   "UNKNOWN"
 )
)</f>
        <v>Minting, Redemption Fees</v>
      </c>
      <c r="AB4" t="str" cm="1">
        <f t="array" ref="AB4">_xlfn.LET(
 _xlpm.project,TRIM($C4),
 _xlpm.attribute,TRIM(IF(AB$3&lt;&gt;"",AB$3,AB$2)),
 _xlfn.XLOOKUP(
   1,
   (TRIM(Sources!$B$2:$B$461)=_xlpm.project)*(TRIM(Sources!$D$2:$D$461)=_xlpm.attribute),
   Sources!$E$2:$E$461,
   "UNKNOWN"
 )
)</f>
        <v>KYC gated</v>
      </c>
    </row>
    <row r="5" spans="1:28">
      <c r="A5" s="115"/>
      <c r="B5">
        <v>2</v>
      </c>
      <c r="C5" t="s">
        <v>990</v>
      </c>
      <c r="D5" s="25">
        <v>46112</v>
      </c>
      <c r="E5">
        <v>2</v>
      </c>
      <c r="F5" t="str" cm="1">
        <f t="array" ref="F5">_xlfn.LET(
 _xlpm.project,TRIM($C5),
 _xlpm.attribute,TRIM(IF(F$3&lt;&gt;"",F$3,F$2)),
 _xlfn.XLOOKUP(
   1,
   (TRIM(Sources!$B$2:$B$461)=_xlpm.project)*(TRIM(Sources!$D$2:$D$461)=_xlpm.attribute),
   Sources!$E$2:$E$461,
   "UNKNOWN"
 )
)</f>
        <v>BVI</v>
      </c>
      <c r="G5" t="str" cm="1">
        <f t="array" ref="G5">_xlfn.LET(
 _xlpm.project,TRIM($C5),
 _xlpm.attribute,TRIM(IF(G$3&lt;&gt;"",G$3,G$2)),
 _xlfn.XLOOKUP(
   1,
   (TRIM(Sources!$B$2:$B$461)=_xlpm.project)*(TRIM(Sources!$D$2:$D$461)=_xlpm.attribute),
   Sources!$E$2:$E$461,
   "UNKNOWN"
 )
)</f>
        <v>Direct Issuer: Ltd.</v>
      </c>
      <c r="H5" t="str" cm="1">
        <f t="array" ref="H5">_xlfn.LET(
 _xlpm.project,TRIM($C5),
 _xlpm.attribute,TRIM(IF(H$3&lt;&gt;"",H$3,H$2)),
 _xlfn.XLOOKUP(
   1,
   (TRIM(Sources!$B$2:$B$461)=_xlpm.project)*(TRIM(Sources!$D$2:$D$461)=_xlpm.attribute),
   Sources!$E$2:$E$461,
   "UNKNOWN"
 )
)</f>
        <v>No token-holder voting system identified for the tokenized fund; BUIDL is not DAO-governed.</v>
      </c>
      <c r="I5" t="str" cm="1">
        <f t="array" ref="I5">_xlfn.LET(
 _xlpm.project,TRIM($C5),
 _xlpm.attribute,TRIM(IF(I$3&lt;&gt;"",I$3,I$2)),
 _xlfn.XLOOKUP(
   1,
   (TRIM(Sources!$B$2:$B$461)=_xlpm.project)*(TRIM(Sources!$D$2:$D$461)=_xlpm.attribute),
   Sources!$E$2:$E$461,
   "UNKNOWN"
 )
)</f>
        <v>Institutional custodian (regulated)</v>
      </c>
      <c r="J5" t="str" cm="1">
        <f t="array" ref="J5">_xlfn.LET(
 _xlpm.project,TRIM($C5),
 _xlpm.attribute,TRIM(IF(J$3&lt;&gt;"",J$3,J$2)),
 _xlfn.XLOOKUP(
   1,
   (TRIM(Sources!$B$2:$B$461)=_xlpm.project)*(TRIM(Sources!$D$2:$D$461)=_xlpm.attribute),
   Sources!$E$2:$E$461,
   "UNKNOWN"
 )
)</f>
        <v>Beneficial ownership (custodian holds legal title on behalf of user)</v>
      </c>
      <c r="K5" t="str" cm="1">
        <f t="array" ref="K5">_xlfn.LET(
 _xlpm.project,TRIM($C5),
 _xlpm.attribute,TRIM(IF(K$3&lt;&gt;"",K$3,K$2)),
 _xlfn.XLOOKUP(
   1,
   (TRIM(Sources!$B$2:$B$461)=_xlpm.project)*(TRIM(Sources!$D$2:$D$461)=_xlpm.attribute),
   Sources!$E$2:$E$461,
   "UNKNOWN"
 )
)</f>
        <v>Delaware, Disputes resolved in New York</v>
      </c>
      <c r="L5" t="str" cm="1">
        <f t="array" ref="L5">_xlfn.LET(
 _xlpm.project,TRIM($C5),
 _xlpm.attribute,TRIM(IF(L$3&lt;&gt;"",L$3,L$2)),
 _xlfn.XLOOKUP(
   1,
   (TRIM(Sources!$B$2:$B$461)=_xlpm.project)*(TRIM(Sources!$D$2:$D$461)=_xlpm.attribute),
   Sources!$E$2:$E$461,
   "UNKNOWN"
 )
)</f>
        <v>Pro-rata claim on asset (share of pooled underlying)</v>
      </c>
      <c r="M5" t="str" cm="1">
        <f t="array" ref="M5">_xlfn.LET(
 _xlpm.project,TRIM($C5),
 _xlpm.attribute,TRIM(IF(M$3&lt;&gt;"",M$3,M$2)),
 _xlfn.XLOOKUP(
   1,
   (TRIM(Sources!$B$2:$B$461)=_xlpm.project)*(TRIM(Sources!$D$2:$D$461)=_xlpm.attribute),
   Sources!$E$2:$E$461,
   "UNKNOWN"
 )
)</f>
        <v>Redemption right; Income distribution right</v>
      </c>
      <c r="N5" t="str" cm="1">
        <f t="array" ref="N5">_xlfn.LET(
 _xlpm.project,TRIM($C5),
 _xlpm.attribute,TRIM(IF(N$3&lt;&gt;"",N$3,N$2)),
 _xlfn.XLOOKUP(
   1,
   (TRIM(Sources!$B$2:$B$461)=_xlpm.project)*(TRIM(Sources!$D$2:$D$461)=_xlpm.attribute),
   Sources!$E$2:$E$461,
   "UNKNOWN"
 )
)</f>
        <v>Fixed income (government/corporate bonds)</v>
      </c>
      <c r="O5" t="str" cm="1">
        <f t="array" ref="O5">_xlfn.LET(
 _xlpm.project,TRIM($C5),
 _xlpm.attribute,TRIM(IF(O$3&lt;&gt;"",O$3,O$2)),
 _xlfn.XLOOKUP(
   1,
   (TRIM(Sources!$B$2:$B$461)=_xlpm.project)*(TRIM(Sources!$D$2:$D$461)=_xlpm.attribute),
   Sources!$E$2:$E$461,
   "UNKNOWN"
 )
)</f>
        <v>Yes; annual by PwC</v>
      </c>
      <c r="P5" t="str" cm="1">
        <f t="array" ref="P5">_xlfn.LET(
 _xlpm.project,TRIM($C5),
 _xlpm.attribute,TRIM(IF(P$3&lt;&gt;"",P$3,P$2)),
 _xlfn.XLOOKUP(
   1,
   (TRIM(Sources!$B$2:$B$461)=_xlpm.project)*(TRIM(Sources!$D$2:$D$461)=_xlpm.attribute),
   Sources!$E$2:$E$461,
   "UNKNOWN"
 )
)</f>
        <v>UNKNOWN</v>
      </c>
      <c r="Q5" t="str" cm="1">
        <f t="array" ref="Q5">_xlfn.LET(
 _xlpm.project,TRIM($C5),
 _xlpm.attribute,TRIM(IF(Q$3&lt;&gt;"",Q$3,Q$2)),
 _xlfn.XLOOKUP(
   1,
   (TRIM(Sources!$B$2:$B$461)=_xlpm.project)*(TRIM(Sources!$D$2:$D$461)=_xlpm.attribute),
   Sources!$E$2:$E$461,
   "UNKNOWN"
 )
)</f>
        <v>Fractionalized</v>
      </c>
      <c r="R5" t="str" cm="1">
        <f t="array" ref="R5">_xlfn.LET(
 _xlpm.project,TRIM($C5),
 _xlpm.attribute,TRIM(IF(R$3&lt;&gt;"",R$3,R$2)),
 _xlfn.XLOOKUP(
   1,
   (TRIM(Sources!$B$2:$B$461)=_xlpm.project)*(TRIM(Sources!$D$2:$D$461)=_xlpm.attribute),
   Sources!$E$2:$E$461,
   "UNKNOWN"
 )
)</f>
        <v>Combination</v>
      </c>
      <c r="S5" t="str" cm="1">
        <f t="array" ref="S5">_xlfn.LET(
 _xlpm.project,TRIM($C5),
 _xlpm.attribute,TRIM(IF(S$3&lt;&gt;"",S$3,S$2)),
 _xlfn.XLOOKUP(
   1,
   (TRIM(Sources!$B$2:$B$461)=_xlpm.project)*(TRIM(Sources!$D$2:$D$461)=_xlpm.attribute),
   Sources!$E$2:$E$461,
   "UNKNOWN"
 )
)</f>
        <v>Yes, based on transfer-agent burn controls and observed on-chain burn events.</v>
      </c>
      <c r="T5" t="str" cm="1">
        <f t="array" ref="T5">_xlfn.LET(
 _xlpm.project,TRIM($C5),
 _xlpm.attribute,TRIM(IF(T$3&lt;&gt;"",T$3,T$2)),
 _xlfn.XLOOKUP(
   1,
   (TRIM(Sources!$B$2:$B$461)=_xlpm.project)*(TRIM(Sources!$D$2:$D$461)=_xlpm.attribute),
   Sources!$E$2:$E$461,
   "UNKNOWN"
 )
)</f>
        <v>Whitelist-restricted</v>
      </c>
      <c r="U5" t="str" cm="1">
        <f t="array" ref="U5">_xlfn.LET(
 _xlpm.project,TRIM($C5),
 _xlpm.attribute,TRIM(IF(U$3&lt;&gt;"",U$3,U$2)),
 _xlfn.XLOOKUP(
   1,
   (TRIM(Sources!$B$2:$B$461)=_xlpm.project)*(TRIM(Sources!$D$2:$D$461)=_xlpm.attribute),
   Sources!$E$2:$E$461,
   "UNKNOWN"
 )
)</f>
        <v>Interest income</v>
      </c>
      <c r="V5" t="str" cm="1">
        <f t="array" ref="V5">_xlfn.LET(
 _xlpm.project,TRIM($C5),
 _xlpm.attribute,TRIM(IF(V$3&lt;&gt;"",V$3,V$2)),
 _xlfn.XLOOKUP(
   1,
   (TRIM(Sources!$B$2:$B$461)=_xlpm.project)*(TRIM(Sources!$D$2:$D$461)=_xlpm.attribute),
   Sources!$E$2:$E$461,
   "UNKNOWN"
 )
)</f>
        <v>Rebase</v>
      </c>
      <c r="W5" t="str" cm="1">
        <f t="array" ref="W5">_xlfn.LET(
 _xlpm.project,TRIM($C5),
 _xlpm.attribute,TRIM(IF(W$3&lt;&gt;"",W$3,W$2)),
 _xlfn.XLOOKUP(
   1,
   (TRIM(Sources!$B$2:$B$461)=_xlpm.project)*(TRIM(Sources!$D$2:$D$461)=_xlpm.attribute),
   Sources!$E$2:$E$461,
   "UNKNOWN"
 )
)</f>
        <v>Uncapped / dynamic; no fixed maximum token supply identified.</v>
      </c>
      <c r="X5" t="str" cm="1">
        <f t="array" ref="X5">_xlfn.LET(
 _xlpm.project,TRIM($C5),
 _xlpm.attribute,TRIM(IF(X$3&lt;&gt;"",X$3,X$2)),
 _xlfn.XLOOKUP(
   1,
   (TRIM(Sources!$B$2:$B$461)=_xlpm.project)*(TRIM(Sources!$D$2:$D$461)=_xlpm.attribute),
   Sources!$E$2:$E$461,
   "UNKNOWN"
 )
)</f>
        <v>Token component: ERC-20/Fungible Asset tokenized shares, whitelisted transfers, minting, burns/freezes, contract upgrades. Economy component: subscriptions/redemptions are processed by Securitize with blockchain confirmation; BUIDL&lt;&gt;USDC atomic-swap smart contract provides a secondary liquidity route; yield is distributed in-kind on-chain. Asset component: underlying cash/T-bills/repos and custody are off-chain. Governance component: none/No DAO governance.</v>
      </c>
      <c r="Y5" t="str" cm="1">
        <f t="array" ref="Y5">_xlfn.LET(
 _xlpm.project,TRIM($C5),
 _xlpm.attribute,TRIM(IF(Y$3&lt;&gt;"",Y$3,Y$2)),
 _xlfn.XLOOKUP(
   1,
   (TRIM(Sources!$B$2:$B$461)=_xlpm.project)*(TRIM(Sources!$D$2:$D$461)=_xlpm.attribute),
   Sources!$E$2:$E$461,
   "UNKNOWN"
 )
)</f>
        <v>Ethereum; Aptos; Arbitrum; Avalanche C-Chain; Optimism; Polygon; Solana; BNB Chain</v>
      </c>
      <c r="Z5" t="str" cm="1">
        <f t="array" ref="Z5">_xlfn.LET(
 _xlpm.project,TRIM($C5),
 _xlpm.attribute,TRIM(IF(Z$3&lt;&gt;"",Z$3,Z$2)),
 _xlfn.XLOOKUP(
   1,
   (TRIM(Sources!$B$2:$B$461)=_xlpm.project)*(TRIM(Sources!$D$2:$D$461)=_xlpm.attribute),
   Sources!$E$2:$E$461,
   "UNKNOWN"
 )
)</f>
        <v>Collateral on Crypto.com and Deribit; Tradable via UniswapX</v>
      </c>
      <c r="AA5" t="str" cm="1">
        <f t="array" ref="AA5">_xlfn.LET(
 _xlpm.project,TRIM($C5),
 _xlpm.attribute,TRIM(IF(AA$3&lt;&gt;"",AA$3,AA$2)),
 _xlfn.XLOOKUP(
   1,
   (TRIM(Sources!$B$2:$B$461)=_xlpm.project)*(TRIM(Sources!$D$2:$D$461)=_xlpm.attribute),
   Sources!$E$2:$E$461,
   "UNKNOWN"
 )
)</f>
        <v>Yield Spread.</v>
      </c>
      <c r="AB5" t="str" cm="1">
        <f t="array" ref="AB5">_xlfn.LET(
 _xlpm.project,TRIM($C5),
 _xlpm.attribute,TRIM(IF(AB$3&lt;&gt;"",AB$3,AB$2)),
 _xlfn.XLOOKUP(
   1,
   (TRIM(Sources!$B$2:$B$461)=_xlpm.project)*(TRIM(Sources!$D$2:$D$461)=_xlpm.attribute),
   Sources!$E$2:$E$461,
   "UNKNOWN"
 )
)</f>
        <v>Qualified investors only</v>
      </c>
    </row>
    <row r="6" spans="1:28">
      <c r="A6" s="115"/>
      <c r="B6">
        <v>3</v>
      </c>
      <c r="C6" t="s">
        <v>1062</v>
      </c>
      <c r="D6" s="25">
        <v>46113</v>
      </c>
      <c r="E6">
        <v>3</v>
      </c>
      <c r="F6" t="str" cm="1">
        <f t="array" ref="F6">_xlfn.LET(
 _xlpm.project,TRIM($C6),
 _xlpm.attribute,TRIM(IF(F$3&lt;&gt;"",F$3,F$2)),
 _xlfn.XLOOKUP(
   1,
   (TRIM(Sources!$B$2:$B$461)=_xlpm.project)*(TRIM(Sources!$D$2:$D$461)=_xlpm.attribute),
   Sources!$E$2:$E$461,
   "UNKNOWN"
 )
)</f>
        <v>USA</v>
      </c>
      <c r="G6" t="str" cm="1">
        <f t="array" ref="G6">_xlfn.LET(
 _xlpm.project,TRIM($C6),
 _xlpm.attribute,TRIM(IF(G$3&lt;&gt;"",G$3,G$2)),
 _xlfn.XLOOKUP(
   1,
   (TRIM(Sources!$B$2:$B$461)=_xlpm.project)*(TRIM(Sources!$D$2:$D$461)=_xlpm.attribute),
   Sources!$E$2:$E$461,
   "UNKNOWN"
 )
)</f>
        <v>Direct Issuer: N.A.</v>
      </c>
      <c r="H6" t="str" cm="1">
        <f t="array" ref="H6">_xlfn.LET(
 _xlpm.project,TRIM($C6),
 _xlpm.attribute,TRIM(IF(H$3&lt;&gt;"",H$3,H$2)),
 _xlfn.XLOOKUP(
   1,
   (TRIM(Sources!$B$2:$B$461)=_xlpm.project)*(TRIM(Sources!$D$2:$D$461)=_xlpm.attribute),
   Sources!$E$2:$E$461,
   "UNKNOWN"
 )
)</f>
        <v>No voting system identified.</v>
      </c>
      <c r="I6" t="str" cm="1">
        <f t="array" ref="I6">_xlfn.LET(
 _xlpm.project,TRIM($C6),
 _xlpm.attribute,TRIM(IF(I$3&lt;&gt;"",I$3,I$2)),
 _xlfn.XLOOKUP(
   1,
   (TRIM(Sources!$B$2:$B$461)=_xlpm.project)*(TRIM(Sources!$D$2:$D$461)=_xlpm.attribute),
   Sources!$E$2:$E$461,
   "UNKNOWN"
 )
)</f>
        <v>Vault storage (physical assets)</v>
      </c>
      <c r="J6" t="str" cm="1">
        <f t="array" ref="J6">_xlfn.LET(
 _xlpm.project,TRIM($C6),
 _xlpm.attribute,TRIM(IF(J$3&lt;&gt;"",J$3,J$2)),
 _xlfn.XLOOKUP(
   1,
   (TRIM(Sources!$B$2:$B$461)=_xlpm.project)*(TRIM(Sources!$D$2:$D$461)=_xlpm.attribute),
   Sources!$E$2:$E$461,
   "UNKNOWN"
 )
)</f>
        <v>Beneficial ownership (custodian holds legal title on behalf of user)</v>
      </c>
      <c r="K6" t="str" cm="1">
        <f t="array" ref="K6">_xlfn.LET(
 _xlpm.project,TRIM($C6),
 _xlpm.attribute,TRIM(IF(K$3&lt;&gt;"",K$3,K$2)),
 _xlfn.XLOOKUP(
   1,
   (TRIM(Sources!$B$2:$B$461)=_xlpm.project)*(TRIM(Sources!$D$2:$D$461)=_xlpm.attribute),
   Sources!$E$2:$E$461,
   "UNKNOWN"
 )
)</f>
        <v>Binding arbitration; New York law</v>
      </c>
      <c r="L6" t="str" cm="1">
        <f t="array" ref="L6">_xlfn.LET(
 _xlpm.project,TRIM($C6),
 _xlpm.attribute,TRIM(IF(L$3&lt;&gt;"",L$3,L$2)),
 _xlfn.XLOOKUP(
   1,
   (TRIM(Sources!$B$2:$B$461)=_xlpm.project)*(TRIM(Sources!$D$2:$D$461)=_xlpm.attribute),
   Sources!$E$2:$E$461,
   "UNKNOWN"
 )
)</f>
        <v>Pro-rata claim on asset (share of pooled underlying)</v>
      </c>
      <c r="M6" t="str" cm="1">
        <f t="array" ref="M6">_xlfn.LET(
 _xlpm.project,TRIM($C6),
 _xlpm.attribute,TRIM(IF(M$3&lt;&gt;"",M$3,M$2)),
 _xlfn.XLOOKUP(
   1,
   (TRIM(Sources!$B$2:$B$461)=_xlpm.project)*(TRIM(Sources!$D$2:$D$461)=_xlpm.attribute),
   Sources!$E$2:$E$461,
   "UNKNOWN"
 )
)</f>
        <v>Redemption right</v>
      </c>
      <c r="N6" t="str" cm="1">
        <f t="array" ref="N6">_xlfn.LET(
 _xlpm.project,TRIM($C6),
 _xlpm.attribute,TRIM(IF(N$3&lt;&gt;"",N$3,N$2)),
 _xlfn.XLOOKUP(
   1,
   (TRIM(Sources!$B$2:$B$461)=_xlpm.project)*(TRIM(Sources!$D$2:$D$461)=_xlpm.attribute),
   Sources!$E$2:$E$461,
   "UNKNOWN"
 )
)</f>
        <v>Commodity (GOLD)</v>
      </c>
      <c r="O6" t="str" cm="1">
        <f t="array" ref="O6">_xlfn.LET(
 _xlpm.project,TRIM($C6),
 _xlpm.attribute,TRIM(IF(O$3&lt;&gt;"",O$3,O$2)),
 _xlfn.XLOOKUP(
   1,
   (TRIM(Sources!$B$2:$B$461)=_xlpm.project)*(TRIM(Sources!$D$2:$D$461)=_xlpm.attribute),
   Sources!$E$2:$E$461,
   "UNKNOWN"
 )
)</f>
        <v>Yes; monthly; https://www.paxos.com/paxg-transparency</v>
      </c>
      <c r="P6" t="str" cm="1">
        <f t="array" ref="P6">_xlfn.LET(
 _xlpm.project,TRIM($C6),
 _xlpm.attribute,TRIM(IF(P$3&lt;&gt;"",P$3,P$2)),
 _xlfn.XLOOKUP(
   1,
   (TRIM(Sources!$B$2:$B$461)=_xlpm.project)*(TRIM(Sources!$D$2:$D$461)=_xlpm.attribute),
   Sources!$E$2:$E$461,
   "UNKNOWN"
 )
)</f>
        <v>Other (Lookup tool)</v>
      </c>
      <c r="Q6" t="str" cm="1">
        <f t="array" ref="Q6">_xlfn.LET(
 _xlpm.project,TRIM($C6),
 _xlpm.attribute,TRIM(IF(Q$3&lt;&gt;"",Q$3,Q$2)),
 _xlfn.XLOOKUP(
   1,
   (TRIM(Sources!$B$2:$B$461)=_xlpm.project)*(TRIM(Sources!$D$2:$D$461)=_xlpm.attribute),
   Sources!$E$2:$E$461,
   "UNKNOWN"
 )
)</f>
        <v>Fractionalized</v>
      </c>
      <c r="R6" t="str" cm="1">
        <f t="array" ref="R6">_xlfn.LET(
 _xlpm.project,TRIM($C6),
 _xlpm.attribute,TRIM(IF(R$3&lt;&gt;"",R$3,R$2)),
 _xlfn.XLOOKUP(
   1,
   (TRIM(Sources!$B$2:$B$461)=_xlpm.project)*(TRIM(Sources!$D$2:$D$461)=_xlpm.attribute),
   Sources!$E$2:$E$461,
   "UNKNOWN"
 )
)</f>
        <v>Combination</v>
      </c>
      <c r="S6" t="str" cm="1">
        <f t="array" ref="S6">_xlfn.LET(
 _xlpm.project,TRIM($C6),
 _xlpm.attribute,TRIM(IF(S$3&lt;&gt;"",S$3,S$2)),
 _xlfn.XLOOKUP(
   1,
   (TRIM(Sources!$B$2:$B$461)=_xlpm.project)*(TRIM(Sources!$D$2:$D$461)=_xlpm.attribute),
   Sources!$E$2:$E$461,
   "UNKNOWN"
 )
)</f>
        <v>Yes.</v>
      </c>
      <c r="T6" t="str" cm="1">
        <f t="array" ref="T6">_xlfn.LET(
 _xlpm.project,TRIM($C6),
 _xlpm.attribute,TRIM(IF(T$3&lt;&gt;"",T$3,T$2)),
 _xlfn.XLOOKUP(
   1,
   (TRIM(Sources!$B$2:$B$461)=_xlpm.project)*(TRIM(Sources!$D$2:$D$461)=_xlpm.attribute),
   Sources!$E$2:$E$461,
   "UNKNOWN"
 )
)</f>
        <v>Unrestricted with issuer freeze capability</v>
      </c>
      <c r="U6" t="str" cm="1">
        <f t="array" ref="U6">_xlfn.LET(
 _xlpm.project,TRIM($C6),
 _xlpm.attribute,TRIM(IF(U$3&lt;&gt;"",U$3,U$2)),
 _xlfn.XLOOKUP(
   1,
   (TRIM(Sources!$B$2:$B$461)=_xlpm.project)*(TRIM(Sources!$D$2:$D$461)=_xlpm.attribute),
   Sources!$E$2:$E$461,
   "UNKNOWN"
 )
)</f>
        <v>None (price appreciation only)</v>
      </c>
      <c r="V6" t="str" cm="1">
        <f t="array" ref="V6">_xlfn.LET(
 _xlpm.project,TRIM($C6),
 _xlpm.attribute,TRIM(IF(V$3&lt;&gt;"",V$3,V$2)),
 _xlfn.XLOOKUP(
   1,
   (TRIM(Sources!$B$2:$B$461)=_xlpm.project)*(TRIM(Sources!$D$2:$D$461)=_xlpm.attribute),
   Sources!$E$2:$E$461,
   "UNKNOWN"
 )
)</f>
        <v>UNKNOWN</v>
      </c>
      <c r="W6" t="str" cm="1">
        <f t="array" ref="W6">_xlfn.LET(
 _xlpm.project,TRIM($C6),
 _xlpm.attribute,TRIM(IF(W$3&lt;&gt;"",W$3,W$2)),
 _xlfn.XLOOKUP(
   1,
   (TRIM(Sources!$B$2:$B$461)=_xlpm.project)*(TRIM(Sources!$D$2:$D$461)=_xlpm.attribute),
   Sources!$E$2:$E$461,
   "UNKNOWN"
 )
)</f>
        <v>Uncapped / dynamic; no fixed maximum token supply identified.</v>
      </c>
      <c r="X6" t="str" cm="1">
        <f t="array" ref="X6">_xlfn.LET(
 _xlpm.project,TRIM($C6),
 _xlpm.attribute,TRIM(IF(X$3&lt;&gt;"",X$3,X$2)),
 _xlfn.XLOOKUP(
   1,
   (TRIM(Sources!$B$2:$B$461)=_xlpm.project)*(TRIM(Sources!$D$2:$D$461)=_xlpm.attribute),
   Sources!$E$2:$E$461,
   "UNKNOWN"
 )
)</f>
        <v>Token component: ERC-20 token ledger, transfers, freeze and upgrade capabilities. Asset component: gold allocation/lookup associates tokens with allocated LBMA bars; allocation itself depends on Paxos/custody systems. Economy component: Paxos platform converts USD/unallocated gold into PAXG and PAXG into USD/unallocated/allocated gold; settlement on Ethereum for token movements. Governance component: none identified.</v>
      </c>
      <c r="Y6" t="str" cm="1">
        <f t="array" ref="Y6">_xlfn.LET(
 _xlpm.project,TRIM($C6),
 _xlpm.attribute,TRIM(IF(Y$3&lt;&gt;"",Y$3,Y$2)),
 _xlfn.XLOOKUP(
   1,
   (TRIM(Sources!$B$2:$B$461)=_xlpm.project)*(TRIM(Sources!$D$2:$D$461)=_xlpm.attribute),
   Sources!$E$2:$E$461,
   "UNKNOWN"
 )
)</f>
        <v>Ethereum; Solana</v>
      </c>
      <c r="Z6" t="str" cm="1">
        <f t="array" ref="Z6">_xlfn.LET(
 _xlpm.project,TRIM($C6),
 _xlpm.attribute,TRIM(IF(Z$3&lt;&gt;"",Z$3,Z$2)),
 _xlfn.XLOOKUP(
   1,
   (TRIM(Sources!$B$2:$B$461)=_xlpm.project)*(TRIM(Sources!$D$2:$D$461)=_xlpm.attribute),
   Sources!$E$2:$E$461,
   "UNKNOWN"
 )
)</f>
        <v>Uniswap pools; various DEX liquidity</v>
      </c>
      <c r="AA6" t="str" cm="1">
        <f t="array" ref="AA6">_xlfn.LET(
 _xlpm.project,TRIM($C6),
 _xlpm.attribute,TRIM(IF(AA$3&lt;&gt;"",AA$3,AA$2)),
 _xlfn.XLOOKUP(
   1,
   (TRIM(Sources!$B$2:$B$461)=_xlpm.project)*(TRIM(Sources!$D$2:$D$461)=_xlpm.attribute),
   Sources!$E$2:$E$461,
   "UNKNOWN"
 )
)</f>
        <v>Minting Fee; Redemption Fee.</v>
      </c>
      <c r="AB6" t="str" cm="1">
        <f t="array" ref="AB6">_xlfn.LET(
 _xlpm.project,TRIM($C6),
 _xlpm.attribute,TRIM(IF(AB$3&lt;&gt;"",AB$3,AB$2)),
 _xlfn.XLOOKUP(
   1,
   (TRIM(Sources!$B$2:$B$461)=_xlpm.project)*(TRIM(Sources!$D$2:$D$461)=_xlpm.attribute),
   Sources!$E$2:$E$461,
   "UNKNOWN"
 )
)</f>
        <v>KYC gated</v>
      </c>
    </row>
    <row r="7" spans="1:28">
      <c r="A7" s="115"/>
      <c r="B7">
        <v>4</v>
      </c>
      <c r="C7" t="s">
        <v>11</v>
      </c>
      <c r="D7" s="25">
        <v>46139</v>
      </c>
      <c r="E7">
        <v>4</v>
      </c>
      <c r="F7" t="str" cm="1">
        <f t="array" ref="F7">_xlfn.LET(
 _xlpm.project,TRIM($C7),
 _xlpm.attribute,TRIM(IF(F$3&lt;&gt;"",F$3,F$2)),
 _xlfn.XLOOKUP(
   1,
   (TRIM(Sources!$B$2:$B$461)=_xlpm.project)*(TRIM(Sources!$D$2:$D$461)=_xlpm.attribute),
   Sources!$E$2:$E$461,
   "UNKNOWN"
 )
)</f>
        <v>Bermuda</v>
      </c>
      <c r="G7" t="str" cm="1">
        <f t="array" ref="G7">_xlfn.LET(
 _xlpm.project,TRIM($C7),
 _xlpm.attribute,TRIM(IF(G$3&lt;&gt;"",G$3,G$2)),
 _xlfn.XLOOKUP(
   1,
   (TRIM(Sources!$B$2:$B$461)=_xlpm.project)*(TRIM(Sources!$D$2:$D$461)=_xlpm.attribute),
   Sources!$E$2:$E$461,
   "UNKNOWN"
 )
)</f>
        <v>Direct Issuer: Ltd.</v>
      </c>
      <c r="H7" t="str" cm="1">
        <f t="array" ref="H7">_xlfn.LET(
 _xlpm.project,TRIM($C7),
 _xlpm.attribute,TRIM(IF(H$3&lt;&gt;"",H$3,H$2)),
 _xlfn.XLOOKUP(
   1,
   (TRIM(Sources!$B$2:$B$461)=_xlpm.project)*(TRIM(Sources!$D$2:$D$461)=_xlpm.attribute),
   Sources!$E$2:$E$461,
   "UNKNOWN"
 )
)</f>
        <v>UNKNOWN</v>
      </c>
      <c r="I7" t="str" cm="1">
        <f t="array" ref="I7">_xlfn.LET(
 _xlpm.project,TRIM($C7),
 _xlpm.attribute,TRIM(IF(I$3&lt;&gt;"",I$3,I$2)),
 _xlfn.XLOOKUP(
   1,
   (TRIM(Sources!$B$2:$B$461)=_xlpm.project)*(TRIM(Sources!$D$2:$D$461)=_xlpm.attribute),
   Sources!$E$2:$E$461,
   "UNKNOWN"
 )
)</f>
        <v>Institutional custodian (regulated)</v>
      </c>
      <c r="J7" t="str" cm="1">
        <f t="array" ref="J7">_xlfn.LET(
 _xlpm.project,TRIM($C7),
 _xlpm.attribute,TRIM(IF(J$3&lt;&gt;"",J$3,J$2)),
 _xlfn.XLOOKUP(
   1,
   (TRIM(Sources!$B$2:$B$461)=_xlpm.project)*(TRIM(Sources!$D$2:$D$461)=_xlpm.attribute),
   Sources!$E$2:$E$461,
   "UNKNOWN"
 )
)</f>
        <v>Beneficial ownership (custodian holds legal title on behalf of user)</v>
      </c>
      <c r="K7" t="str" cm="1">
        <f t="array" ref="K7">_xlfn.LET(
 _xlpm.project,TRIM($C7),
 _xlpm.attribute,TRIM(IF(K$3&lt;&gt;"",K$3,K$2)),
 _xlfn.XLOOKUP(
   1,
   (TRIM(Sources!$B$2:$B$461)=_xlpm.project)*(TRIM(Sources!$D$2:$D$461)=_xlpm.attribute),
   Sources!$E$2:$E$461,
   "UNKNOWN"
 )
)</f>
        <v>UNKNOWN</v>
      </c>
      <c r="L7" t="str" cm="1">
        <f t="array" ref="L7">_xlfn.LET(
 _xlpm.project,TRIM($C7),
 _xlpm.attribute,TRIM(IF(L$3&lt;&gt;"",L$3,L$2)),
 _xlfn.XLOOKUP(
   1,
   (TRIM(Sources!$B$2:$B$461)=_xlpm.project)*(TRIM(Sources!$D$2:$D$461)=_xlpm.attribute),
   Sources!$E$2:$E$461,
   "UNKNOWN"
 )
)</f>
        <v>Pro-rata claim on asset (share of pooled underlying)</v>
      </c>
      <c r="M7" t="str" cm="1">
        <f t="array" ref="M7">_xlfn.LET(
 _xlpm.project,TRIM($C7),
 _xlpm.attribute,TRIM(IF(M$3&lt;&gt;"",M$3,M$2)),
 _xlfn.XLOOKUP(
   1,
   (TRIM(Sources!$B$2:$B$461)=_xlpm.project)*(TRIM(Sources!$D$2:$D$461)=_xlpm.attribute),
   Sources!$E$2:$E$461,
   "UNKNOWN"
 )
)</f>
        <v>Redemption right; Interest entitlement</v>
      </c>
      <c r="N7" t="str" cm="1">
        <f t="array" ref="N7">_xlfn.LET(
 _xlpm.project,TRIM($C7),
 _xlpm.attribute,TRIM(IF(N$3&lt;&gt;"",N$3,N$2)),
 _xlfn.XLOOKUP(
   1,
   (TRIM(Sources!$B$2:$B$461)=_xlpm.project)*(TRIM(Sources!$D$2:$D$461)=_xlpm.attribute),
   Sources!$E$2:$E$461,
   "UNKNOWN"
 )
)</f>
        <v>Fixed income (government/corporate bonds)</v>
      </c>
      <c r="O7" t="str" cm="1">
        <f t="array" ref="O7">_xlfn.LET(
 _xlpm.project,TRIM($C7),
 _xlpm.attribute,TRIM(IF(O$3&lt;&gt;"",O$3,O$2)),
 _xlfn.XLOOKUP(
   1,
   (TRIM(Sources!$B$2:$B$461)=_xlpm.project)*(TRIM(Sources!$D$2:$D$461)=_xlpm.attribute),
   Sources!$E$2:$E$461,
   "UNKNOWN"
 )
)</f>
        <v>Yes; frequency UNKNOWN; https://usyc.docs.hashnote.com/overview/service-providers</v>
      </c>
      <c r="P7" t="str" cm="1">
        <f t="array" ref="P7">_xlfn.LET(
 _xlpm.project,TRIM($C7),
 _xlpm.attribute,TRIM(IF(P$3&lt;&gt;"",P$3,P$2)),
 _xlfn.XLOOKUP(
   1,
   (TRIM(Sources!$B$2:$B$461)=_xlpm.project)*(TRIM(Sources!$D$2:$D$461)=_xlpm.attribute),
   Sources!$E$2:$E$461,
   "UNKNOWN"
 )
)</f>
        <v>Smart contract oracle feed</v>
      </c>
      <c r="Q7" t="str" cm="1">
        <f t="array" ref="Q7">_xlfn.LET(
 _xlpm.project,TRIM($C7),
 _xlpm.attribute,TRIM(IF(Q$3&lt;&gt;"",Q$3,Q$2)),
 _xlfn.XLOOKUP(
   1,
   (TRIM(Sources!$B$2:$B$461)=_xlpm.project)*(TRIM(Sources!$D$2:$D$461)=_xlpm.attribute),
   Sources!$E$2:$E$461,
   "UNKNOWN"
 )
)</f>
        <v>Fractionalized</v>
      </c>
      <c r="R7" t="str" cm="1">
        <f t="array" ref="R7">_xlfn.LET(
 _xlpm.project,TRIM($C7),
 _xlpm.attribute,TRIM(IF(R$3&lt;&gt;"",R$3,R$2)),
 _xlfn.XLOOKUP(
   1,
   (TRIM(Sources!$B$2:$B$461)=_xlpm.project)*(TRIM(Sources!$D$2:$D$461)=_xlpm.attribute),
   Sources!$E$2:$E$461,
   "UNKNOWN"
 )
)</f>
        <v>In-kind (other token)</v>
      </c>
      <c r="S7" t="str" cm="1">
        <f t="array" ref="S7">_xlfn.LET(
 _xlpm.project,TRIM($C7),
 _xlpm.attribute,TRIM(IF(S$3&lt;&gt;"",S$3,S$2)),
 _xlfn.XLOOKUP(
   1,
   (TRIM(Sources!$B$2:$B$461)=_xlpm.project)*(TRIM(Sources!$D$2:$D$461)=_xlpm.attribute),
   Sources!$E$2:$E$461,
   "UNKNOWN"
 )
)</f>
        <v>Yes</v>
      </c>
      <c r="T7" t="str" cm="1">
        <f t="array" ref="T7">_xlfn.LET(
 _xlpm.project,TRIM($C7),
 _xlpm.attribute,TRIM(IF(T$3&lt;&gt;"",T$3,T$2)),
 _xlfn.XLOOKUP(
   1,
   (TRIM(Sources!$B$2:$B$461)=_xlpm.project)*(TRIM(Sources!$D$2:$D$461)=_xlpm.attribute),
   Sources!$E$2:$E$461,
   "UNKNOWN"
 )
)</f>
        <v>Whitelist-restricted</v>
      </c>
      <c r="U7" t="str" cm="1">
        <f t="array" ref="U7">_xlfn.LET(
 _xlpm.project,TRIM($C7),
 _xlpm.attribute,TRIM(IF(U$3&lt;&gt;"",U$3,U$2)),
 _xlfn.XLOOKUP(
   1,
   (TRIM(Sources!$B$2:$B$461)=_xlpm.project)*(TRIM(Sources!$D$2:$D$461)=_xlpm.attribute),
   Sources!$E$2:$E$461,
   "UNKNOWN"
 )
)</f>
        <v>Interest income</v>
      </c>
      <c r="V7" t="str" cm="1">
        <f t="array" ref="V7">_xlfn.LET(
 _xlpm.project,TRIM($C7),
 _xlpm.attribute,TRIM(IF(V$3&lt;&gt;"",V$3,V$2)),
 _xlfn.XLOOKUP(
   1,
   (TRIM(Sources!$B$2:$B$461)=_xlpm.project)*(TRIM(Sources!$D$2:$D$461)=_xlpm.attribute),
   Sources!$E$2:$E$461,
   "UNKNOWN"
 )
)</f>
        <v>Accrual</v>
      </c>
      <c r="W7" t="str" cm="1">
        <f t="array" ref="W7">_xlfn.LET(
 _xlpm.project,TRIM($C7),
 _xlpm.attribute,TRIM(IF(W$3&lt;&gt;"",W$3,W$2)),
 _xlfn.XLOOKUP(
   1,
   (TRIM(Sources!$B$2:$B$461)=_xlpm.project)*(TRIM(Sources!$D$2:$D$461)=_xlpm.attribute),
   Sources!$E$2:$E$461,
   "UNKNOWN"
 )
)</f>
        <v>UNKNOWN</v>
      </c>
      <c r="X7" t="str" cm="1">
        <f t="array" ref="X7">_xlfn.LET(
 _xlpm.project,TRIM($C7),
 _xlpm.attribute,TRIM(IF(X$3&lt;&gt;"",X$3,X$2)),
 _xlfn.XLOOKUP(
   1,
   (TRIM(Sources!$B$2:$B$461)=_xlpm.project)*(TRIM(Sources!$D$2:$D$461)=_xlpm.attribute),
   Sources!$E$2:$E$461,
   "UNKNOWN"
 )
)</f>
        <v>Minting/subscription; redemption/burn; transfer permissioning; oracle price reporting</v>
      </c>
      <c r="Y7" t="str" cm="1">
        <f t="array" ref="Y7">_xlfn.LET(
 _xlpm.project,TRIM($C7),
 _xlpm.attribute,TRIM(IF(Y$3&lt;&gt;"",Y$3,Y$2)),
 _xlfn.XLOOKUP(
   1,
   (TRIM(Sources!$B$2:$B$461)=_xlpm.project)*(TRIM(Sources!$D$2:$D$461)=_xlpm.attribute),
   Sources!$E$2:$E$461,
   "UNKNOWN"
 )
)</f>
        <v>Ethereum; BSC; Solana</v>
      </c>
      <c r="Z7" t="str" cm="1">
        <f t="array" ref="Z7">_xlfn.LET(
 _xlpm.project,TRIM($C7),
 _xlpm.attribute,TRIM(IF(Z$3&lt;&gt;"",Z$3,Z$2)),
 _xlfn.XLOOKUP(
   1,
   (TRIM(Sources!$B$2:$B$461)=_xlpm.project)*(TRIM(Sources!$D$2:$D$461)=_xlpm.attribute),
   Sources!$E$2:$E$461,
   "UNKNOWN"
 )
)</f>
        <v>Collateral</v>
      </c>
      <c r="AA7" t="str" cm="1">
        <f t="array" ref="AA7">_xlfn.LET(
 _xlpm.project,TRIM($C7),
 _xlpm.attribute,TRIM(IF(AA$3&lt;&gt;"",AA$3,AA$2)),
 _xlfn.XLOOKUP(
   1,
   (TRIM(Sources!$B$2:$B$461)=_xlpm.project)*(TRIM(Sources!$D$2:$D$461)=_xlpm.attribute),
   Sources!$E$2:$E$461,
   "UNKNOWN"
 )
)</f>
        <v>Minting Fee; Redemption Fee; Yield Spread</v>
      </c>
      <c r="AB7" t="str" cm="1">
        <f t="array" ref="AB7">_xlfn.LET(
 _xlpm.project,TRIM($C7),
 _xlpm.attribute,TRIM(IF(AB$3&lt;&gt;"",AB$3,AB$2)),
 _xlfn.XLOOKUP(
   1,
   (TRIM(Sources!$B$2:$B$461)=_xlpm.project)*(TRIM(Sources!$D$2:$D$461)=_xlpm.attribute),
   Sources!$E$2:$E$461,
   "UNKNOWN"
 )
)</f>
        <v>Institutional only; KYC gated; Whitelisted only</v>
      </c>
    </row>
    <row r="8" spans="1:28">
      <c r="A8" s="115"/>
      <c r="B8">
        <v>5</v>
      </c>
      <c r="C8" t="s">
        <v>123</v>
      </c>
      <c r="D8" s="25">
        <v>46139</v>
      </c>
      <c r="E8">
        <v>5</v>
      </c>
      <c r="F8" t="str" cm="1">
        <f t="array" ref="F8">_xlfn.LET(
 _xlpm.project,TRIM($C8),
 _xlpm.attribute,TRIM(IF(F$3&lt;&gt;"",F$3,F$2)),
 _xlfn.XLOOKUP(
   1,
   (TRIM(Sources!$B$2:$B$461)=_xlpm.project)*(TRIM(Sources!$D$2:$D$461)=_xlpm.attribute),
   Sources!$E$2:$E$461,
   "UNKNOWN"
 )
)</f>
        <v>USA</v>
      </c>
      <c r="G8" t="str" cm="1">
        <f t="array" ref="G8">_xlfn.LET(
 _xlpm.project,TRIM($C8),
 _xlpm.attribute,TRIM(IF(G$3&lt;&gt;"",G$3,G$2)),
 _xlfn.XLOOKUP(
   1,
   (TRIM(Sources!$B$2:$B$461)=_xlpm.project)*(TRIM(Sources!$D$2:$D$461)=_xlpm.attribute),
   Sources!$E$2:$E$461,
   "UNKNOWN"
 )
)</f>
        <v>Bankruptcy remote vehicle: Trust</v>
      </c>
      <c r="H8" t="str" cm="1">
        <f t="array" ref="H8">_xlfn.LET(
 _xlpm.project,TRIM($C8),
 _xlpm.attribute,TRIM(IF(H$3&lt;&gt;"",H$3,H$2)),
 _xlfn.XLOOKUP(
   1,
   (TRIM(Sources!$B$2:$B$461)=_xlpm.project)*(TRIM(Sources!$D$2:$D$461)=_xlpm.attribute),
   Sources!$E$2:$E$461,
   "UNKNOWN"
 )
)</f>
        <v>UNKNOWN</v>
      </c>
      <c r="I8" t="str" cm="1">
        <f t="array" ref="I8">_xlfn.LET(
 _xlpm.project,TRIM($C8),
 _xlpm.attribute,TRIM(IF(I$3&lt;&gt;"",I$3,I$2)),
 _xlfn.XLOOKUP(
   1,
   (TRIM(Sources!$B$2:$B$461)=_xlpm.project)*(TRIM(Sources!$D$2:$D$461)=_xlpm.attribute),
   Sources!$E$2:$E$461,
   "UNKNOWN"
 )
)</f>
        <v>Institutional custodian (regulated)</v>
      </c>
      <c r="J8" t="str" cm="1">
        <f t="array" ref="J8">_xlfn.LET(
 _xlpm.project,TRIM($C8),
 _xlpm.attribute,TRIM(IF(J$3&lt;&gt;"",J$3,J$2)),
 _xlfn.XLOOKUP(
   1,
   (TRIM(Sources!$B$2:$B$461)=_xlpm.project)*(TRIM(Sources!$D$2:$D$461)=_xlpm.attribute),
   Sources!$E$2:$E$461,
   "UNKNOWN"
 )
)</f>
        <v>SPV held</v>
      </c>
      <c r="K8" t="str" cm="1">
        <f t="array" ref="K8">_xlfn.LET(
 _xlpm.project,TRIM($C8),
 _xlpm.attribute,TRIM(IF(K$3&lt;&gt;"",K$3,K$2)),
 _xlfn.XLOOKUP(
   1,
   (TRIM(Sources!$B$2:$B$461)=_xlpm.project)*(TRIM(Sources!$D$2:$D$461)=_xlpm.attribute),
   Sources!$E$2:$E$461,
   "UNKNOWN"
 )
)</f>
        <v>UNKNOWN</v>
      </c>
      <c r="L8" t="str" cm="1">
        <f t="array" ref="L8">_xlfn.LET(
 _xlpm.project,TRIM($C8),
 _xlpm.attribute,TRIM(IF(L$3&lt;&gt;"",L$3,L$2)),
 _xlfn.XLOOKUP(
   1,
   (TRIM(Sources!$B$2:$B$461)=_xlpm.project)*(TRIM(Sources!$D$2:$D$461)=_xlpm.attribute),
   Sources!$E$2:$E$461,
   "UNKNOWN"
 )
)</f>
        <v>Pro-rata claim on asset (share of pooled underlying)</v>
      </c>
      <c r="M8" t="str" cm="1">
        <f t="array" ref="M8">_xlfn.LET(
 _xlpm.project,TRIM($C8),
 _xlpm.attribute,TRIM(IF(M$3&lt;&gt;"",M$3,M$2)),
 _xlfn.XLOOKUP(
   1,
   (TRIM(Sources!$B$2:$B$461)=_xlpm.project)*(TRIM(Sources!$D$2:$D$461)=_xlpm.attribute),
   Sources!$E$2:$E$461,
   "UNKNOWN"
 )
)</f>
        <v>Redemption right; Interest entitlement</v>
      </c>
      <c r="N8" t="str" cm="1">
        <f t="array" ref="N8">_xlfn.LET(
 _xlpm.project,TRIM($C8),
 _xlpm.attribute,TRIM(IF(N$3&lt;&gt;"",N$3,N$2)),
 _xlfn.XLOOKUP(
   1,
   (TRIM(Sources!$B$2:$B$461)=_xlpm.project)*(TRIM(Sources!$D$2:$D$461)=_xlpm.attribute),
   Sources!$E$2:$E$461,
   "UNKNOWN"
 )
)</f>
        <v>Fixed income (government/corporate bonds)</v>
      </c>
      <c r="O8" t="str" cm="1">
        <f t="array" ref="O8">_xlfn.LET(
 _xlpm.project,TRIM($C8),
 _xlpm.attribute,TRIM(IF(O$3&lt;&gt;"",O$3,O$2)),
 _xlfn.XLOOKUP(
   1,
   (TRIM(Sources!$B$2:$B$461)=_xlpm.project)*(TRIM(Sources!$D$2:$D$461)=_xlpm.attribute),
   Sources!$E$2:$E$461,
   "UNKNOWN"
 )
)</f>
        <v>Yes; annual; https://superstate.com/assets/ustb</v>
      </c>
      <c r="P8" t="str" cm="1">
        <f t="array" ref="P8">_xlfn.LET(
 _xlpm.project,TRIM($C8),
 _xlpm.attribute,TRIM(IF(P$3&lt;&gt;"",P$3,P$2)),
 _xlfn.XLOOKUP(
   1,
   (TRIM(Sources!$B$2:$B$461)=_xlpm.project)*(TRIM(Sources!$D$2:$D$461)=_xlpm.attribute),
   Sources!$E$2:$E$461,
   "UNKNOWN"
 )
)</f>
        <v>Smart contract oracle feed</v>
      </c>
      <c r="Q8" t="str" cm="1">
        <f t="array" ref="Q8">_xlfn.LET(
 _xlpm.project,TRIM($C8),
 _xlpm.attribute,TRIM(IF(Q$3&lt;&gt;"",Q$3,Q$2)),
 _xlfn.XLOOKUP(
   1,
   (TRIM(Sources!$B$2:$B$461)=_xlpm.project)*(TRIM(Sources!$D$2:$D$461)=_xlpm.attribute),
   Sources!$E$2:$E$461,
   "UNKNOWN"
 )
)</f>
        <v>Fractionalized</v>
      </c>
      <c r="R8" t="str" cm="1">
        <f t="array" ref="R8">_xlfn.LET(
 _xlpm.project,TRIM($C8),
 _xlpm.attribute,TRIM(IF(R$3&lt;&gt;"",R$3,R$2)),
 _xlfn.XLOOKUP(
   1,
   (TRIM(Sources!$B$2:$B$461)=_xlpm.project)*(TRIM(Sources!$D$2:$D$461)=_xlpm.attribute),
   Sources!$E$2:$E$461,
   "UNKNOWN"
 )
)</f>
        <v>Combination</v>
      </c>
      <c r="S8" t="str" cm="1">
        <f t="array" ref="S8">_xlfn.LET(
 _xlpm.project,TRIM($C8),
 _xlpm.attribute,TRIM(IF(S$3&lt;&gt;"",S$3,S$2)),
 _xlfn.XLOOKUP(
   1,
   (TRIM(Sources!$B$2:$B$461)=_xlpm.project)*(TRIM(Sources!$D$2:$D$461)=_xlpm.attribute),
   Sources!$E$2:$E$461,
   "UNKNOWN"
 )
)</f>
        <v>Yes</v>
      </c>
      <c r="T8" t="str" cm="1">
        <f t="array" ref="T8">_xlfn.LET(
 _xlpm.project,TRIM($C8),
 _xlpm.attribute,TRIM(IF(T$3&lt;&gt;"",T$3,T$2)),
 _xlfn.XLOOKUP(
   1,
   (TRIM(Sources!$B$2:$B$461)=_xlpm.project)*(TRIM(Sources!$D$2:$D$461)=_xlpm.attribute),
   Sources!$E$2:$E$461,
   "UNKNOWN"
 )
)</f>
        <v>Whitelist-restricted</v>
      </c>
      <c r="U8" t="str" cm="1">
        <f t="array" ref="U8">_xlfn.LET(
 _xlpm.project,TRIM($C8),
 _xlpm.attribute,TRIM(IF(U$3&lt;&gt;"",U$3,U$2)),
 _xlfn.XLOOKUP(
   1,
   (TRIM(Sources!$B$2:$B$461)=_xlpm.project)*(TRIM(Sources!$D$2:$D$461)=_xlpm.attribute),
   Sources!$E$2:$E$461,
   "UNKNOWN"
 )
)</f>
        <v>Interest income</v>
      </c>
      <c r="V8" t="str" cm="1">
        <f t="array" ref="V8">_xlfn.LET(
 _xlpm.project,TRIM($C8),
 _xlpm.attribute,TRIM(IF(V$3&lt;&gt;"",V$3,V$2)),
 _xlfn.XLOOKUP(
   1,
   (TRIM(Sources!$B$2:$B$461)=_xlpm.project)*(TRIM(Sources!$D$2:$D$461)=_xlpm.attribute),
   Sources!$E$2:$E$461,
   "UNKNOWN"
 )
)</f>
        <v>Accrual</v>
      </c>
      <c r="W8" t="str" cm="1">
        <f t="array" ref="W8">_xlfn.LET(
 _xlpm.project,TRIM($C8),
 _xlpm.attribute,TRIM(IF(W$3&lt;&gt;"",W$3,W$2)),
 _xlfn.XLOOKUP(
   1,
   (TRIM(Sources!$B$2:$B$461)=_xlpm.project)*(TRIM(Sources!$D$2:$D$461)=_xlpm.attribute),
   Sources!$E$2:$E$461,
   "UNKNOWN"
 )
)</f>
        <v>Uncapped</v>
      </c>
      <c r="X8" t="str" cm="1">
        <f t="array" ref="X8">_xlfn.LET(
 _xlpm.project,TRIM($C8),
 _xlpm.attribute,TRIM(IF(X$3&lt;&gt;"",X$3,X$2)),
 _xlfn.XLOOKUP(
   1,
   (TRIM(Sources!$B$2:$B$461)=_xlpm.project)*(TRIM(Sources!$D$2:$D$461)=_xlpm.attribute),
   Sources!$E$2:$E$461,
   "UNKNOWN"
 )
)</f>
        <v>Minting/subscription; redemption/burn; transfer permissioning; bridging; oracle price reporting</v>
      </c>
      <c r="Y8" t="str" cm="1">
        <f t="array" ref="Y8">_xlfn.LET(
 _xlpm.project,TRIM($C8),
 _xlpm.attribute,TRIM(IF(Y$3&lt;&gt;"",Y$3,Y$2)),
 _xlfn.XLOOKUP(
   1,
   (TRIM(Sources!$B$2:$B$461)=_xlpm.project)*(TRIM(Sources!$D$2:$D$461)=_xlpm.attribute),
   Sources!$E$2:$E$461,
   "UNKNOWN"
 )
)</f>
        <v>Ethereum; Solana; Plume</v>
      </c>
      <c r="Z8" t="str" cm="1">
        <f t="array" ref="Z8">_xlfn.LET(
 _xlpm.project,TRIM($C8),
 _xlpm.attribute,TRIM(IF(Z$3&lt;&gt;"",Z$3,Z$2)),
 _xlfn.XLOOKUP(
   1,
   (TRIM(Sources!$B$2:$B$461)=_xlpm.project)*(TRIM(Sources!$D$2:$D$461)=_xlpm.attribute),
   Sources!$E$2:$E$461,
   "UNKNOWN"
 )
)</f>
        <v>Other (Aave borrowing and lending)</v>
      </c>
      <c r="AA8" t="str" cm="1">
        <f t="array" ref="AA8">_xlfn.LET(
 _xlpm.project,TRIM($C8),
 _xlpm.attribute,TRIM(IF(AA$3&lt;&gt;"",AA$3,AA$2)),
 _xlfn.XLOOKUP(
   1,
   (TRIM(Sources!$B$2:$B$461)=_xlpm.project)*(TRIM(Sources!$D$2:$D$461)=_xlpm.attribute),
   Sources!$E$2:$E$461,
   "UNKNOWN"
 )
)</f>
        <v>Custody Fee</v>
      </c>
      <c r="AB8" t="str" cm="1">
        <f t="array" ref="AB8">_xlfn.LET(
 _xlpm.project,TRIM($C8),
 _xlpm.attribute,TRIM(IF(AB$3&lt;&gt;"",AB$3,AB$2)),
 _xlfn.XLOOKUP(
   1,
   (TRIM(Sources!$B$2:$B$461)=_xlpm.project)*(TRIM(Sources!$D$2:$D$461)=_xlpm.attribute),
   Sources!$E$2:$E$461,
   "UNKNOWN"
 )
)</f>
        <v>Qualified investors only; KYC gated; Whitelisted only</v>
      </c>
    </row>
    <row r="9" spans="1:28">
      <c r="A9" s="115"/>
      <c r="B9">
        <v>6</v>
      </c>
      <c r="C9" t="s">
        <v>187</v>
      </c>
      <c r="D9" s="25">
        <v>46139</v>
      </c>
      <c r="E9">
        <v>6</v>
      </c>
      <c r="F9" t="str" cm="1">
        <f t="array" ref="F9">_xlfn.LET(
 _xlpm.project,TRIM($C9),
 _xlpm.attribute,TRIM(IF(F$3&lt;&gt;"",F$3,F$2)),
 _xlfn.XLOOKUP(
   1,
   (TRIM(Sources!$B$2:$B$461)=_xlpm.project)*(TRIM(Sources!$D$2:$D$461)=_xlpm.attribute),
   Sources!$E$2:$E$461,
   "UNKNOWN"
 )
)</f>
        <v>USA</v>
      </c>
      <c r="G9" t="str" cm="1">
        <f t="array" ref="G9">_xlfn.LET(
 _xlpm.project,TRIM($C9),
 _xlpm.attribute,TRIM(IF(G$3&lt;&gt;"",G$3,G$2)),
 _xlfn.XLOOKUP(
   1,
   (TRIM(Sources!$B$2:$B$461)=_xlpm.project)*(TRIM(Sources!$D$2:$D$461)=_xlpm.attribute),
   Sources!$E$2:$E$461,
   "UNKNOWN"
 )
)</f>
        <v>Bankruptcy remote vehicle: Trust</v>
      </c>
      <c r="H9" t="str" cm="1">
        <f t="array" ref="H9">_xlfn.LET(
 _xlpm.project,TRIM($C9),
 _xlpm.attribute,TRIM(IF(H$3&lt;&gt;"",H$3,H$2)),
 _xlfn.XLOOKUP(
   1,
   (TRIM(Sources!$B$2:$B$461)=_xlpm.project)*(TRIM(Sources!$D$2:$D$461)=_xlpm.attribute),
   Sources!$E$2:$E$461,
   "UNKNOWN"
 )
)</f>
        <v>Yes (shareholder voting; one vote per share when required)</v>
      </c>
      <c r="I9" t="str" cm="1">
        <f t="array" ref="I9">_xlfn.LET(
 _xlpm.project,TRIM($C9),
 _xlpm.attribute,TRIM(IF(I$3&lt;&gt;"",I$3,I$2)),
 _xlfn.XLOOKUP(
   1,
   (TRIM(Sources!$B$2:$B$461)=_xlpm.project)*(TRIM(Sources!$D$2:$D$461)=_xlpm.attribute),
   Sources!$E$2:$E$461,
   "UNKNOWN"
 )
)</f>
        <v>Institutional custodian (regulated)</v>
      </c>
      <c r="J9" t="str" cm="1">
        <f t="array" ref="J9">_xlfn.LET(
 _xlpm.project,TRIM($C9),
 _xlpm.attribute,TRIM(IF(J$3&lt;&gt;"",J$3,J$2)),
 _xlfn.XLOOKUP(
   1,
   (TRIM(Sources!$B$2:$B$461)=_xlpm.project)*(TRIM(Sources!$D$2:$D$461)=_xlpm.attribute),
   Sources!$E$2:$E$461,
   "UNKNOWN"
 )
)</f>
        <v>SPV held</v>
      </c>
      <c r="K9" t="str" cm="1">
        <f t="array" ref="K9">_xlfn.LET(
 _xlpm.project,TRIM($C9),
 _xlpm.attribute,TRIM(IF(K$3&lt;&gt;"",K$3,K$2)),
 _xlfn.XLOOKUP(
   1,
   (TRIM(Sources!$B$2:$B$461)=_xlpm.project)*(TRIM(Sources!$D$2:$D$461)=_xlpm.attribute),
   Sources!$E$2:$E$461,
   "UNKNOWN"
 )
)</f>
        <v>AAA Arbitration; New York, New York</v>
      </c>
      <c r="L9" t="str" cm="1">
        <f t="array" ref="L9">_xlfn.LET(
 _xlpm.project,TRIM($C9),
 _xlpm.attribute,TRIM(IF(L$3&lt;&gt;"",L$3,L$2)),
 _xlfn.XLOOKUP(
   1,
   (TRIM(Sources!$B$2:$B$461)=_xlpm.project)*(TRIM(Sources!$D$2:$D$461)=_xlpm.attribute),
   Sources!$E$2:$E$461,
   "UNKNOWN"
 )
)</f>
        <v>Pro-rata claim on asset (share of pooled underlying)</v>
      </c>
      <c r="M9" t="str" cm="1">
        <f t="array" ref="M9">_xlfn.LET(
 _xlpm.project,TRIM($C9),
 _xlpm.attribute,TRIM(IF(M$3&lt;&gt;"",M$3,M$2)),
 _xlfn.XLOOKUP(
   1,
   (TRIM(Sources!$B$2:$B$461)=_xlpm.project)*(TRIM(Sources!$D$2:$D$461)=_xlpm.attribute),
   Sources!$E$2:$E$461,
   "UNKNOWN"
 )
)</f>
        <v>Redemption right; Income distribution right; Governance/voting</v>
      </c>
      <c r="N9" t="str" cm="1">
        <f t="array" ref="N9">_xlfn.LET(
 _xlpm.project,TRIM($C9),
 _xlpm.attribute,TRIM(IF(N$3&lt;&gt;"",N$3,N$2)),
 _xlfn.XLOOKUP(
   1,
   (TRIM(Sources!$B$2:$B$461)=_xlpm.project)*(TRIM(Sources!$D$2:$D$461)=_xlpm.attribute),
   Sources!$E$2:$E$461,
   "UNKNOWN"
 )
)</f>
        <v>Fixed income (government/corporate bonds)</v>
      </c>
      <c r="O9" t="str" cm="1">
        <f t="array" ref="O9">_xlfn.LET(
 _xlpm.project,TRIM($C9),
 _xlpm.attribute,TRIM(IF(O$3&lt;&gt;"",O$3,O$2)),
 _xlfn.XLOOKUP(
   1,
   (TRIM(Sources!$B$2:$B$461)=_xlpm.project)*(TRIM(Sources!$D$2:$D$461)=_xlpm.attribute),
   Sources!$E$2:$E$461,
   "UNKNOWN"
 )
)</f>
        <v>Yes; annual; https://www.wisdomtreeconnect.com/prospectus-regulatory-reports</v>
      </c>
      <c r="P9" t="str" cm="1">
        <f t="array" ref="P9">_xlfn.LET(
 _xlpm.project,TRIM($C9),
 _xlpm.attribute,TRIM(IF(P$3&lt;&gt;"",P$3,P$2)),
 _xlfn.XLOOKUP(
   1,
   (TRIM(Sources!$B$2:$B$461)=_xlpm.project)*(TRIM(Sources!$D$2:$D$461)=_xlpm.attribute),
   Sources!$E$2:$E$461,
   "UNKNOWN"
 )
)</f>
        <v>UNKNOWN</v>
      </c>
      <c r="Q9" t="str" cm="1">
        <f t="array" ref="Q9">_xlfn.LET(
 _xlpm.project,TRIM($C9),
 _xlpm.attribute,TRIM(IF(Q$3&lt;&gt;"",Q$3,Q$2)),
 _xlfn.XLOOKUP(
   1,
   (TRIM(Sources!$B$2:$B$461)=_xlpm.project)*(TRIM(Sources!$D$2:$D$461)=_xlpm.attribute),
   Sources!$E$2:$E$461,
   "UNKNOWN"
 )
)</f>
        <v>Yes</v>
      </c>
      <c r="R9" t="str" cm="1">
        <f t="array" ref="R9">_xlfn.LET(
 _xlpm.project,TRIM($C9),
 _xlpm.attribute,TRIM(IF(R$3&lt;&gt;"",R$3,R$2)),
 _xlfn.XLOOKUP(
   1,
   (TRIM(Sources!$B$2:$B$461)=_xlpm.project)*(TRIM(Sources!$D$2:$D$461)=_xlpm.attribute),
   Sources!$E$2:$E$461,
   "UNKNOWN"
 )
)</f>
        <v>Combination</v>
      </c>
      <c r="S9" t="str" cm="1">
        <f t="array" ref="S9">_xlfn.LET(
 _xlpm.project,TRIM($C9),
 _xlpm.attribute,TRIM(IF(S$3&lt;&gt;"",S$3,S$2)),
 _xlfn.XLOOKUP(
   1,
   (TRIM(Sources!$B$2:$B$461)=_xlpm.project)*(TRIM(Sources!$D$2:$D$461)=_xlpm.attribute),
   Sources!$E$2:$E$461,
   "UNKNOWN"
 )
)</f>
        <v>Yes</v>
      </c>
      <c r="T9" t="str" cm="1">
        <f t="array" ref="T9">_xlfn.LET(
 _xlpm.project,TRIM($C9),
 _xlpm.attribute,TRIM(IF(T$3&lt;&gt;"",T$3,T$2)),
 _xlfn.XLOOKUP(
   1,
   (TRIM(Sources!$B$2:$B$461)=_xlpm.project)*(TRIM(Sources!$D$2:$D$461)=_xlpm.attribute),
   Sources!$E$2:$E$461,
   "UNKNOWN"
 )
)</f>
        <v>Whitelist-restricted</v>
      </c>
      <c r="U9" t="str" cm="1">
        <f t="array" ref="U9">_xlfn.LET(
 _xlpm.project,TRIM($C9),
 _xlpm.attribute,TRIM(IF(U$3&lt;&gt;"",U$3,U$2)),
 _xlfn.XLOOKUP(
   1,
   (TRIM(Sources!$B$2:$B$461)=_xlpm.project)*(TRIM(Sources!$D$2:$D$461)=_xlpm.attribute),
   Sources!$E$2:$E$461,
   "UNKNOWN"
 )
)</f>
        <v>Interest income</v>
      </c>
      <c r="V9" t="str" cm="1">
        <f t="array" ref="V9">_xlfn.LET(
 _xlpm.project,TRIM($C9),
 _xlpm.attribute,TRIM(IF(V$3&lt;&gt;"",V$3,V$2)),
 _xlfn.XLOOKUP(
   1,
   (TRIM(Sources!$B$2:$B$461)=_xlpm.project)*(TRIM(Sources!$D$2:$D$461)=_xlpm.attribute),
   Sources!$E$2:$E$461,
   "UNKNOWN"
 )
)</f>
        <v>Distribution</v>
      </c>
      <c r="W9" t="str" cm="1">
        <f t="array" ref="W9">_xlfn.LET(
 _xlpm.project,TRIM($C9),
 _xlpm.attribute,TRIM(IF(W$3&lt;&gt;"",W$3,W$2)),
 _xlfn.XLOOKUP(
   1,
   (TRIM(Sources!$B$2:$B$461)=_xlpm.project)*(TRIM(Sources!$D$2:$D$461)=_xlpm.attribute),
   Sources!$E$2:$E$461,
   "UNKNOWN"
 )
)</f>
        <v>Uncapped</v>
      </c>
      <c r="X9" t="str" cm="1">
        <f t="array" ref="X9">_xlfn.LET(
 _xlpm.project,TRIM($C9),
 _xlpm.attribute,TRIM(IF(X$3&lt;&gt;"",X$3,X$2)),
 _xlfn.XLOOKUP(
   1,
   (TRIM(Sources!$B$2:$B$461)=_xlpm.project)*(TRIM(Sources!$D$2:$D$461)=_xlpm.attribute),
   Sources!$E$2:$E$461,
   "UNKNOWN"
 )
)</f>
        <v>Token issuance/recordkeeping; transfer permissioning; peer-to-peer transfer; wallet permissioning; stablecoin conversion settlement</v>
      </c>
      <c r="Y9" t="str" cm="1">
        <f t="array" ref="Y9">_xlfn.LET(
 _xlpm.project,TRIM($C9),
 _xlpm.attribute,TRIM(IF(Y$3&lt;&gt;"",Y$3,Y$2)),
 _xlfn.XLOOKUP(
   1,
   (TRIM(Sources!$B$2:$B$461)=_xlpm.project)*(TRIM(Sources!$D$2:$D$461)=_xlpm.attribute),
   Sources!$E$2:$E$461,
   "UNKNOWN"
 )
)</f>
        <v>Ethereum; Stellar; Avalanche; Arbitrum; Base; Optimism; Plume</v>
      </c>
      <c r="Z9" t="str" cm="1">
        <f t="array" ref="Z9">_xlfn.LET(
 _xlpm.project,TRIM($C9),
 _xlpm.attribute,TRIM(IF(Z$3&lt;&gt;"",Z$3,Z$2)),
 _xlfn.XLOOKUP(
   1,
   (TRIM(Sources!$B$2:$B$461)=_xlpm.project)*(TRIM(Sources!$D$2:$D$461)=_xlpm.attribute),
   Sources!$E$2:$E$461,
   "UNKNOWN"
 )
)</f>
        <v>UNKNOWN</v>
      </c>
      <c r="AA9" t="str" cm="1">
        <f t="array" ref="AA9">_xlfn.LET(
 _xlpm.project,TRIM($C9),
 _xlpm.attribute,TRIM(IF(AA$3&lt;&gt;"",AA$3,AA$2)),
 _xlfn.XLOOKUP(
   1,
   (TRIM(Sources!$B$2:$B$461)=_xlpm.project)*(TRIM(Sources!$D$2:$D$461)=_xlpm.attribute),
   Sources!$E$2:$E$461,
   "UNKNOWN"
 )
)</f>
        <v>Expense Ratio and Gas fees</v>
      </c>
      <c r="AB9" t="str" cm="1">
        <f t="array" ref="AB9">_xlfn.LET(
 _xlpm.project,TRIM($C9),
 _xlpm.attribute,TRIM(IF(AB$3&lt;&gt;"",AB$3,AB$2)),
 _xlfn.XLOOKUP(
   1,
   (TRIM(Sources!$B$2:$B$461)=_xlpm.project)*(TRIM(Sources!$D$2:$D$461)=_xlpm.attribute),
   Sources!$E$2:$E$461,
   "UNKNOWN"
 )
)</f>
        <v>KYC gated; Whitelisted only</v>
      </c>
    </row>
    <row r="10" spans="1:28">
      <c r="A10" s="115"/>
      <c r="B10">
        <v>7</v>
      </c>
      <c r="C10" t="s">
        <v>246</v>
      </c>
      <c r="D10" s="25">
        <v>46139</v>
      </c>
      <c r="E10">
        <v>7</v>
      </c>
      <c r="F10" t="str" cm="1">
        <f t="array" ref="F10">_xlfn.LET(
 _xlpm.project,TRIM($C10),
 _xlpm.attribute,TRIM(IF(F$3&lt;&gt;"",F$3,F$2)),
 _xlfn.XLOOKUP(
   1,
   (TRIM(Sources!$B$2:$B$461)=_xlpm.project)*(TRIM(Sources!$D$2:$D$461)=_xlpm.attribute),
   Sources!$E$2:$E$461,
   "UNKNOWN"
 )
)</f>
        <v>BVI</v>
      </c>
      <c r="G10" t="str" cm="1">
        <f t="array" ref="G10">_xlfn.LET(
 _xlpm.project,TRIM($C10),
 _xlpm.attribute,TRIM(IF(G$3&lt;&gt;"",G$3,G$2)),
 _xlfn.XLOOKUP(
   1,
   (TRIM(Sources!$B$2:$B$461)=_xlpm.project)*(TRIM(Sources!$D$2:$D$461)=_xlpm.attribute),
   Sources!$E$2:$E$461,
   "UNKNOWN"
 )
)</f>
        <v>Bankruptcy remote vehicle: SPV</v>
      </c>
      <c r="H10" t="str" cm="1">
        <f t="array" ref="H10">_xlfn.LET(
 _xlpm.project,TRIM($C10),
 _xlpm.attribute,TRIM(IF(H$3&lt;&gt;"",H$3,H$2)),
 _xlfn.XLOOKUP(
   1,
   (TRIM(Sources!$B$2:$B$461)=_xlpm.project)*(TRIM(Sources!$D$2:$D$461)=_xlpm.attribute),
   Sources!$E$2:$E$461,
   "UNKNOWN"
 )
)</f>
        <v>UNKNOWN</v>
      </c>
      <c r="I10" t="str" cm="1">
        <f t="array" ref="I10">_xlfn.LET(
 _xlpm.project,TRIM($C10),
 _xlpm.attribute,TRIM(IF(I$3&lt;&gt;"",I$3,I$2)),
 _xlfn.XLOOKUP(
   1,
   (TRIM(Sources!$B$2:$B$461)=_xlpm.project)*(TRIM(Sources!$D$2:$D$461)=_xlpm.attribute),
   Sources!$E$2:$E$461,
   "UNKNOWN"
 )
)</f>
        <v>Institutional custodian (regulated)</v>
      </c>
      <c r="J10" t="str" cm="1">
        <f t="array" ref="J10">_xlfn.LET(
 _xlpm.project,TRIM($C10),
 _xlpm.attribute,TRIM(IF(J$3&lt;&gt;"",J$3,J$2)),
 _xlfn.XLOOKUP(
   1,
   (TRIM(Sources!$B$2:$B$461)=_xlpm.project)*(TRIM(Sources!$D$2:$D$461)=_xlpm.attribute),
   Sources!$E$2:$E$461,
   "UNKNOWN"
 )
)</f>
        <v>SPV held</v>
      </c>
      <c r="K10" t="str" cm="1">
        <f t="array" ref="K10">_xlfn.LET(
 _xlpm.project,TRIM($C10),
 _xlpm.attribute,TRIM(IF(K$3&lt;&gt;"",K$3,K$2)),
 _xlfn.XLOOKUP(
   1,
   (TRIM(Sources!$B$2:$B$461)=_xlpm.project)*(TRIM(Sources!$D$2:$D$461)=_xlpm.attribute),
   Sources!$E$2:$E$461,
   "UNKNOWN"
 )
)</f>
        <v>UNKNOWN</v>
      </c>
      <c r="L10" t="str" cm="1">
        <f t="array" ref="L10">_xlfn.LET(
 _xlpm.project,TRIM($C10),
 _xlpm.attribute,TRIM(IF(L$3&lt;&gt;"",L$3,L$2)),
 _xlfn.XLOOKUP(
   1,
   (TRIM(Sources!$B$2:$B$461)=_xlpm.project)*(TRIM(Sources!$D$2:$D$461)=_xlpm.attribute),
   Sources!$E$2:$E$461,
   "UNKNOWN"
 )
)</f>
        <v>Pro-rata claim on asset (share of pooled underlying)</v>
      </c>
      <c r="M10" t="str" cm="1">
        <f t="array" ref="M10">_xlfn.LET(
 _xlpm.project,TRIM($C10),
 _xlpm.attribute,TRIM(IF(M$3&lt;&gt;"",M$3,M$2)),
 _xlfn.XLOOKUP(
   1,
   (TRIM(Sources!$B$2:$B$461)=_xlpm.project)*(TRIM(Sources!$D$2:$D$461)=_xlpm.attribute),
   Sources!$E$2:$E$461,
   "UNKNOWN"
 )
)</f>
        <v>Redemption right; Interest entitlement</v>
      </c>
      <c r="N10" t="str" cm="1">
        <f t="array" ref="N10">_xlfn.LET(
 _xlpm.project,TRIM($C10),
 _xlpm.attribute,TRIM(IF(N$3&lt;&gt;"",N$3,N$2)),
 _xlfn.XLOOKUP(
   1,
   (TRIM(Sources!$B$2:$B$461)=_xlpm.project)*(TRIM(Sources!$D$2:$D$461)=_xlpm.attribute),
   Sources!$E$2:$E$461,
   "UNKNOWN"
 )
)</f>
        <v>Fixed income (government/corporate bonds)</v>
      </c>
      <c r="O10" t="str" cm="1">
        <f t="array" ref="O10">_xlfn.LET(
 _xlpm.project,TRIM($C10),
 _xlpm.attribute,TRIM(IF(O$3&lt;&gt;"",O$3,O$2)),
 _xlfn.XLOOKUP(
   1,
   (TRIM(Sources!$B$2:$B$461)=_xlpm.project)*(TRIM(Sources!$D$2:$D$461)=_xlpm.attribute),
   Sources!$E$2:$E$461,
   "UNKNOWN"
 )
)</f>
        <v>MHA Cayman</v>
      </c>
      <c r="P10" t="str" cm="1">
        <f t="array" ref="P10">_xlfn.LET(
 _xlpm.project,TRIM($C10),
 _xlpm.attribute,TRIM(IF(P$3&lt;&gt;"",P$3,P$2)),
 _xlfn.XLOOKUP(
   1,
   (TRIM(Sources!$B$2:$B$461)=_xlpm.project)*(TRIM(Sources!$D$2:$D$461)=_xlpm.attribute),
   Sources!$E$2:$E$461,
   "UNKNOWN"
 )
)</f>
        <v>Other (transparent onchain NAV reporting)</v>
      </c>
      <c r="Q10" t="str" cm="1">
        <f t="array" ref="Q10">_xlfn.LET(
 _xlpm.project,TRIM($C10),
 _xlpm.attribute,TRIM(IF(Q$3&lt;&gt;"",Q$3,Q$2)),
 _xlfn.XLOOKUP(
   1,
   (TRIM(Sources!$B$2:$B$461)=_xlpm.project)*(TRIM(Sources!$D$2:$D$461)=_xlpm.attribute),
   Sources!$E$2:$E$461,
   "UNKNOWN"
 )
)</f>
        <v>Fractionalized</v>
      </c>
      <c r="R10" t="str" cm="1">
        <f t="array" ref="R10">_xlfn.LET(
 _xlpm.project,TRIM($C10),
 _xlpm.attribute,TRIM(IF(R$3&lt;&gt;"",R$3,R$2)),
 _xlfn.XLOOKUP(
   1,
   (TRIM(Sources!$B$2:$B$461)=_xlpm.project)*(TRIM(Sources!$D$2:$D$461)=_xlpm.attribute),
   Sources!$E$2:$E$461,
   "UNKNOWN"
 )
)</f>
        <v>In-kind (other token)</v>
      </c>
      <c r="S10" t="str" cm="1">
        <f t="array" ref="S10">_xlfn.LET(
 _xlpm.project,TRIM($C10),
 _xlpm.attribute,TRIM(IF(S$3&lt;&gt;"",S$3,S$2)),
 _xlfn.XLOOKUP(
   1,
   (TRIM(Sources!$B$2:$B$461)=_xlpm.project)*(TRIM(Sources!$D$2:$D$461)=_xlpm.attribute),
   Sources!$E$2:$E$461,
   "UNKNOWN"
 )
)</f>
        <v>Yes</v>
      </c>
      <c r="T10" t="str" cm="1">
        <f t="array" ref="T10">_xlfn.LET(
 _xlpm.project,TRIM($C10),
 _xlpm.attribute,TRIM(IF(T$3&lt;&gt;"",T$3,T$2)),
 _xlfn.XLOOKUP(
   1,
   (TRIM(Sources!$B$2:$B$461)=_xlpm.project)*(TRIM(Sources!$D$2:$D$461)=_xlpm.attribute),
   Sources!$E$2:$E$461,
   "UNKNOWN"
 )
)</f>
        <v>Conditionally restricted (non-US professional investors; programmable compliance)</v>
      </c>
      <c r="U10" t="str" cm="1">
        <f t="array" ref="U10">_xlfn.LET(
 _xlpm.project,TRIM($C10),
 _xlpm.attribute,TRIM(IF(U$3&lt;&gt;"",U$3,U$2)),
 _xlfn.XLOOKUP(
   1,
   (TRIM(Sources!$B$2:$B$461)=_xlpm.project)*(TRIM(Sources!$D$2:$D$461)=_xlpm.attribute),
   Sources!$E$2:$E$461,
   "UNKNOWN"
 )
)</f>
        <v>Interest income</v>
      </c>
      <c r="V10" t="str" cm="1">
        <f t="array" ref="V10">_xlfn.LET(
 _xlpm.project,TRIM($C10),
 _xlpm.attribute,TRIM(IF(V$3&lt;&gt;"",V$3,V$2)),
 _xlfn.XLOOKUP(
   1,
   (TRIM(Sources!$B$2:$B$461)=_xlpm.project)*(TRIM(Sources!$D$2:$D$461)=_xlpm.attribute),
   Sources!$E$2:$E$461,
   "UNKNOWN"
 )
)</f>
        <v>Accrual</v>
      </c>
      <c r="W10" t="str" cm="1">
        <f t="array" ref="W10">_xlfn.LET(
 _xlpm.project,TRIM($C10),
 _xlpm.attribute,TRIM(IF(W$3&lt;&gt;"",W$3,W$2)),
 _xlfn.XLOOKUP(
   1,
   (TRIM(Sources!$B$2:$B$461)=_xlpm.project)*(TRIM(Sources!$D$2:$D$461)=_xlpm.attribute),
   Sources!$E$2:$E$461,
   "UNKNOWN"
 )
)</f>
        <v>Uncapped</v>
      </c>
      <c r="X10" t="str" cm="1">
        <f t="array" ref="X10">_xlfn.LET(
 _xlpm.project,TRIM($C10),
 _xlpm.attribute,TRIM(IF(X$3&lt;&gt;"",X$3,X$2)),
 _xlfn.XLOOKUP(
   1,
   (TRIM(Sources!$B$2:$B$461)=_xlpm.project)*(TRIM(Sources!$D$2:$D$461)=_xlpm.attribute),
   Sources!$E$2:$E$461,
   "UNKNOWN"
 )
)</f>
        <v>Minting/subscription; redemption/burn; transfer permissioning; NAV/price oracle reporting; multichain token issuance</v>
      </c>
      <c r="Y10" t="str" cm="1">
        <f t="array" ref="Y10">_xlfn.LET(
 _xlpm.project,TRIM($C10),
 _xlpm.attribute,TRIM(IF(Y$3&lt;&gt;"",Y$3,Y$2)),
 _xlfn.XLOOKUP(
   1,
   (TRIM(Sources!$B$2:$B$461)=_xlpm.project)*(TRIM(Sources!$D$2:$D$461)=_xlpm.attribute),
   Sources!$E$2:$E$461,
   "UNKNOWN"
 )
)</f>
        <v>Ethereum; Base; Avalanche; BSC; Solana</v>
      </c>
      <c r="Z10" t="str" cm="1">
        <f t="array" ref="Z10">_xlfn.LET(
 _xlpm.project,TRIM($C10),
 _xlpm.attribute,TRIM(IF(Z$3&lt;&gt;"",Z$3,Z$2)),
 _xlfn.XLOOKUP(
   1,
   (TRIM(Sources!$B$2:$B$461)=_xlpm.project)*(TRIM(Sources!$D$2:$D$461)=_xlpm.attribute),
   Sources!$E$2:$E$461,
   "UNKNOWN"
 )
)</f>
        <v>Collateral in lending (Aave Horizon)</v>
      </c>
      <c r="AA10" t="str" cm="1">
        <f t="array" ref="AA10">_xlfn.LET(
 _xlpm.project,TRIM($C10),
 _xlpm.attribute,TRIM(IF(AA$3&lt;&gt;"",AA$3,AA$2)),
 _xlfn.XLOOKUP(
   1,
   (TRIM(Sources!$B$2:$B$461)=_xlpm.project)*(TRIM(Sources!$D$2:$D$461)=_xlpm.attribute),
   Sources!$E$2:$E$461,
   "UNKNOWN"
 )
)</f>
        <v>Management fee</v>
      </c>
      <c r="AB10" t="str" cm="1">
        <f t="array" ref="AB10">_xlfn.LET(
 _xlpm.project,TRIM($C10),
 _xlpm.attribute,TRIM(IF(AB$3&lt;&gt;"",AB$3,AB$2)),
 _xlfn.XLOOKUP(
   1,
   (TRIM(Sources!$B$2:$B$461)=_xlpm.project)*(TRIM(Sources!$D$2:$D$461)=_xlpm.attribute),
   Sources!$E$2:$E$461,
   "UNKNOWN"
 )
)</f>
        <v>Qualified investors only</v>
      </c>
    </row>
    <row r="11" spans="1:28">
      <c r="A11" s="115"/>
      <c r="B11">
        <v>8</v>
      </c>
      <c r="C11" t="s">
        <v>310</v>
      </c>
      <c r="D11" s="25">
        <v>46139</v>
      </c>
      <c r="E11">
        <v>8</v>
      </c>
      <c r="F11" t="str" cm="1">
        <f t="array" ref="F11">_xlfn.LET(
 _xlpm.project,TRIM($C11),
 _xlpm.attribute,TRIM(IF(F$3&lt;&gt;"",F$3,F$2)),
 _xlfn.XLOOKUP(
   1,
   (TRIM(Sources!$B$2:$B$461)=_xlpm.project)*(TRIM(Sources!$D$2:$D$461)=_xlpm.attribute),
   Sources!$E$2:$E$461,
   "UNKNOWN"
 )
)</f>
        <v>BVI</v>
      </c>
      <c r="G11" t="str" cm="1">
        <f t="array" ref="G11">_xlfn.LET(
 _xlpm.project,TRIM($C11),
 _xlpm.attribute,TRIM(IF(G$3&lt;&gt;"",G$3,G$2)),
 _xlfn.XLOOKUP(
   1,
   (TRIM(Sources!$B$2:$B$461)=_xlpm.project)*(TRIM(Sources!$D$2:$D$461)=_xlpm.attribute),
   Sources!$E$2:$E$461,
   "UNKNOWN"
 )
)</f>
        <v>Bankruptcy remote vehicle: SPV</v>
      </c>
      <c r="H11" t="str" cm="1">
        <f t="array" ref="H11">_xlfn.LET(
 _xlpm.project,TRIM($C11),
 _xlpm.attribute,TRIM(IF(H$3&lt;&gt;"",H$3,H$2)),
 _xlfn.XLOOKUP(
   1,
   (TRIM(Sources!$B$2:$B$461)=_xlpm.project)*(TRIM(Sources!$D$2:$D$461)=_xlpm.attribute),
   Sources!$E$2:$E$461,
   "UNKNOWN"
 )
)</f>
        <v>UNKNOWN</v>
      </c>
      <c r="I11" t="str" cm="1">
        <f t="array" ref="I11">_xlfn.LET(
 _xlpm.project,TRIM($C11),
 _xlpm.attribute,TRIM(IF(I$3&lt;&gt;"",I$3,I$2)),
 _xlfn.XLOOKUP(
   1,
   (TRIM(Sources!$B$2:$B$461)=_xlpm.project)*(TRIM(Sources!$D$2:$D$461)=_xlpm.attribute),
   Sources!$E$2:$E$461,
   "UNKNOWN"
 )
)</f>
        <v>Institutional custodian (regulated)</v>
      </c>
      <c r="J11" t="str" cm="1">
        <f t="array" ref="J11">_xlfn.LET(
 _xlpm.project,TRIM($C11),
 _xlpm.attribute,TRIM(IF(J$3&lt;&gt;"",J$3,J$2)),
 _xlfn.XLOOKUP(
   1,
   (TRIM(Sources!$B$2:$B$461)=_xlpm.project)*(TRIM(Sources!$D$2:$D$461)=_xlpm.attribute),
   Sources!$E$2:$E$461,
   "UNKNOWN"
 )
)</f>
        <v>Direct title (token holder is legal owner)</v>
      </c>
      <c r="K11" t="str" cm="1">
        <f t="array" ref="K11">_xlfn.LET(
 _xlpm.project,TRIM($C11),
 _xlpm.attribute,TRIM(IF(K$3&lt;&gt;"",K$3,K$2)),
 _xlfn.XLOOKUP(
   1,
   (TRIM(Sources!$B$2:$B$461)=_xlpm.project)*(TRIM(Sources!$D$2:$D$461)=_xlpm.attribute),
   Sources!$E$2:$E$461,
   "UNKNOWN"
 )
)</f>
        <v>UNKNOWN</v>
      </c>
      <c r="L11" t="str" cm="1">
        <f t="array" ref="L11">_xlfn.LET(
 _xlpm.project,TRIM($C11),
 _xlpm.attribute,TRIM(IF(L$3&lt;&gt;"",L$3,L$2)),
 _xlfn.XLOOKUP(
   1,
   (TRIM(Sources!$B$2:$B$461)=_xlpm.project)*(TRIM(Sources!$D$2:$D$461)=_xlpm.attribute),
   Sources!$E$2:$E$461,
   "UNKNOWN"
 )
)</f>
        <v>Pro-rata claim on asset (share of pooled underlying)</v>
      </c>
      <c r="M11" t="str" cm="1">
        <f t="array" ref="M11">_xlfn.LET(
 _xlpm.project,TRIM($C11),
 _xlpm.attribute,TRIM(IF(M$3&lt;&gt;"",M$3,M$2)),
 _xlfn.XLOOKUP(
   1,
   (TRIM(Sources!$B$2:$B$461)=_xlpm.project)*(TRIM(Sources!$D$2:$D$461)=_xlpm.attribute),
   Sources!$E$2:$E$461,
   "UNKNOWN"
 )
)</f>
        <v>Redemption right; Interest entitlement</v>
      </c>
      <c r="N11" t="str" cm="1">
        <f t="array" ref="N11">_xlfn.LET(
 _xlpm.project,TRIM($C11),
 _xlpm.attribute,TRIM(IF(N$3&lt;&gt;"",N$3,N$2)),
 _xlfn.XLOOKUP(
   1,
   (TRIM(Sources!$B$2:$B$461)=_xlpm.project)*(TRIM(Sources!$D$2:$D$461)=_xlpm.attribute),
   Sources!$E$2:$E$461,
   "UNKNOWN"
 )
)</f>
        <v>Fixed income (government/corporate bonds)</v>
      </c>
      <c r="O11" t="str" cm="1">
        <f t="array" ref="O11">_xlfn.LET(
 _xlpm.project,TRIM($C11),
 _xlpm.attribute,TRIM(IF(O$3&lt;&gt;"",O$3,O$2)),
 _xlfn.XLOOKUP(
   1,
   (TRIM(Sources!$B$2:$B$461)=_xlpm.project)*(TRIM(Sources!$D$2:$D$461)=_xlpm.attribute),
   Sources!$E$2:$E$461,
   "UNKNOWN"
 )
)</f>
        <v>MHA Cayman</v>
      </c>
      <c r="P11" t="str" cm="1">
        <f t="array" ref="P11">_xlfn.LET(
 _xlpm.project,TRIM($C11),
 _xlpm.attribute,TRIM(IF(P$3&lt;&gt;"",P$3,P$2)),
 _xlfn.XLOOKUP(
   1,
   (TRIM(Sources!$B$2:$B$461)=_xlpm.project)*(TRIM(Sources!$D$2:$D$461)=_xlpm.attribute),
   Sources!$E$2:$E$461,
   "UNKNOWN"
 )
)</f>
        <v>Other</v>
      </c>
      <c r="Q11" t="str" cm="1">
        <f t="array" ref="Q11">_xlfn.LET(
 _xlpm.project,TRIM($C11),
 _xlpm.attribute,TRIM(IF(Q$3&lt;&gt;"",Q$3,Q$2)),
 _xlfn.XLOOKUP(
   1,
   (TRIM(Sources!$B$2:$B$461)=_xlpm.project)*(TRIM(Sources!$D$2:$D$461)=_xlpm.attribute),
   Sources!$E$2:$E$461,
   "UNKNOWN"
 )
)</f>
        <v>Fractionalized</v>
      </c>
      <c r="R11" t="str" cm="1">
        <f t="array" ref="R11">_xlfn.LET(
 _xlpm.project,TRIM($C11),
 _xlpm.attribute,TRIM(IF(R$3&lt;&gt;"",R$3,R$2)),
 _xlfn.XLOOKUP(
   1,
   (TRIM(Sources!$B$2:$B$461)=_xlpm.project)*(TRIM(Sources!$D$2:$D$461)=_xlpm.attribute),
   Sources!$E$2:$E$461,
   "UNKNOWN"
 )
)</f>
        <v>Combination</v>
      </c>
      <c r="S11" t="str" cm="1">
        <f t="array" ref="S11">_xlfn.LET(
 _xlpm.project,TRIM($C11),
 _xlpm.attribute,TRIM(IF(S$3&lt;&gt;"",S$3,S$2)),
 _xlfn.XLOOKUP(
   1,
   (TRIM(Sources!$B$2:$B$461)=_xlpm.project)*(TRIM(Sources!$D$2:$D$461)=_xlpm.attribute),
   Sources!$E$2:$E$461,
   "UNKNOWN"
 )
)</f>
        <v>Yes</v>
      </c>
      <c r="T11" t="str" cm="1">
        <f t="array" ref="T11">_xlfn.LET(
 _xlpm.project,TRIM($C11),
 _xlpm.attribute,TRIM(IF(T$3&lt;&gt;"",T$3,T$2)),
 _xlfn.XLOOKUP(
   1,
   (TRIM(Sources!$B$2:$B$461)=_xlpm.project)*(TRIM(Sources!$D$2:$D$461)=_xlpm.attribute),
   Sources!$E$2:$E$461,
   "UNKNOWN"
 )
)</f>
        <v>Whitelist-restricted</v>
      </c>
      <c r="U11" t="str" cm="1">
        <f t="array" ref="U11">_xlfn.LET(
 _xlpm.project,TRIM($C11),
 _xlpm.attribute,TRIM(IF(U$3&lt;&gt;"",U$3,U$2)),
 _xlfn.XLOOKUP(
   1,
   (TRIM(Sources!$B$2:$B$461)=_xlpm.project)*(TRIM(Sources!$D$2:$D$461)=_xlpm.attribute),
   Sources!$E$2:$E$461,
   "UNKNOWN"
 )
)</f>
        <v>Interest income</v>
      </c>
      <c r="V11" t="str" cm="1">
        <f t="array" ref="V11">_xlfn.LET(
 _xlpm.project,TRIM($C11),
 _xlpm.attribute,TRIM(IF(V$3&lt;&gt;"",V$3,V$2)),
 _xlfn.XLOOKUP(
   1,
   (TRIM(Sources!$B$2:$B$461)=_xlpm.project)*(TRIM(Sources!$D$2:$D$461)=_xlpm.attribute),
   Sources!$E$2:$E$461,
   "UNKNOWN"
 )
)</f>
        <v>Accrual</v>
      </c>
      <c r="W11" t="str" cm="1">
        <f t="array" ref="W11">_xlfn.LET(
 _xlpm.project,TRIM($C11),
 _xlpm.attribute,TRIM(IF(W$3&lt;&gt;"",W$3,W$2)),
 _xlfn.XLOOKUP(
   1,
   (TRIM(Sources!$B$2:$B$461)=_xlpm.project)*(TRIM(Sources!$D$2:$D$461)=_xlpm.attribute),
   Sources!$E$2:$E$461,
   "UNKNOWN"
 )
)</f>
        <v>Uncapped</v>
      </c>
      <c r="X11" t="str" cm="1">
        <f t="array" ref="X11">_xlfn.LET(
 _xlpm.project,TRIM($C11),
 _xlpm.attribute,TRIM(IF(X$3&lt;&gt;"",X$3,X$2)),
 _xlfn.XLOOKUP(
   1,
   (TRIM(Sources!$B$2:$B$461)=_xlpm.project)*(TRIM(Sources!$D$2:$D$461)=_xlpm.attribute),
   Sources!$E$2:$E$461,
   "UNKNOWN"
 )
)</f>
        <v>Minting/subscription; redemption/burn; transfer permissioning; NAV/price oracle reporting; multichain token issuance</v>
      </c>
      <c r="Y11" t="str" cm="1">
        <f t="array" ref="Y11">_xlfn.LET(
 _xlpm.project,TRIM($C11),
 _xlpm.attribute,TRIM(IF(Y$3&lt;&gt;"",Y$3,Y$2)),
 _xlfn.XLOOKUP(
   1,
   (TRIM(Sources!$B$2:$B$461)=_xlpm.project)*(TRIM(Sources!$D$2:$D$461)=_xlpm.attribute),
   Sources!$E$2:$E$461,
   "UNKNOWN"
 )
)</f>
        <v>Ethereum; Base; Arbitrum; Celo</v>
      </c>
      <c r="Z11" t="str" cm="1">
        <f t="array" ref="Z11">_xlfn.LET(
 _xlpm.project,TRIM($C11),
 _xlpm.attribute,TRIM(IF(Z$3&lt;&gt;"",Z$3,Z$2)),
 _xlfn.XLOOKUP(
   1,
   (TRIM(Sources!$B$2:$B$461)=_xlpm.project)*(TRIM(Sources!$D$2:$D$461)=_xlpm.attribute),
   Sources!$E$2:$E$461,
   "UNKNOWN"
 )
)</f>
        <v>Collateral in lending (Aave Horizon)</v>
      </c>
      <c r="AA11" t="str" cm="1">
        <f t="array" ref="AA11">_xlfn.LET(
 _xlpm.project,TRIM($C11),
 _xlpm.attribute,TRIM(IF(AA$3&lt;&gt;"",AA$3,AA$2)),
 _xlfn.XLOOKUP(
   1,
   (TRIM(Sources!$B$2:$B$461)=_xlpm.project)*(TRIM(Sources!$D$2:$D$461)=_xlpm.attribute),
   Sources!$E$2:$E$461,
   "UNKNOWN"
 )
)</f>
        <v>Management fee</v>
      </c>
      <c r="AB11" t="str" cm="1">
        <f t="array" ref="AB11">_xlfn.LET(
 _xlpm.project,TRIM($C11),
 _xlpm.attribute,TRIM(IF(AB$3&lt;&gt;"",AB$3,AB$2)),
 _xlfn.XLOOKUP(
   1,
   (TRIM(Sources!$B$2:$B$461)=_xlpm.project)*(TRIM(Sources!$D$2:$D$461)=_xlpm.attribute),
   Sources!$E$2:$E$461,
   "UNKNOWN"
 )
)</f>
        <v>Qualified investors only; Whitelisted only</v>
      </c>
    </row>
    <row r="12" spans="1:28">
      <c r="A12" s="115"/>
      <c r="B12">
        <v>9</v>
      </c>
      <c r="C12" t="s">
        <v>371</v>
      </c>
      <c r="D12" s="25">
        <v>46143</v>
      </c>
      <c r="E12">
        <v>9</v>
      </c>
      <c r="F12" t="str" cm="1">
        <f t="array" ref="F12">_xlfn.LET(
 _xlpm.project,TRIM($C12),
 _xlpm.attribute,TRIM(IF(F$3&lt;&gt;"",F$3,F$2)),
 _xlfn.XLOOKUP(
   1,
   (TRIM(Sources!$B$2:$B$461)=_xlpm.project)*(TRIM(Sources!$D$2:$D$461)=_xlpm.attribute),
   Sources!$E$2:$E$461,
   "UNKNOWN"
 )
)</f>
        <v>USA</v>
      </c>
      <c r="G12" t="str" cm="1">
        <f t="array" ref="G12">_xlfn.LET(
 _xlpm.project,TRIM($C12),
 _xlpm.attribute,TRIM(IF(G$3&lt;&gt;"",G$3,G$2)),
 _xlfn.XLOOKUP(
   1,
   (TRIM(Sources!$B$2:$B$461)=_xlpm.project)*(TRIM(Sources!$D$2:$D$461)=_xlpm.attribute),
   Sources!$E$2:$E$461,
   "UNKNOWN"
 )
)</f>
        <v>Direct Issuer: LP</v>
      </c>
      <c r="H12" t="str" cm="1">
        <f t="array" ref="H12">_xlfn.LET(
 _xlpm.project,TRIM($C12),
 _xlpm.attribute,TRIM(IF(H$3&lt;&gt;"",H$3,H$2)),
 _xlfn.XLOOKUP(
   1,
   (TRIM(Sources!$B$2:$B$461)=_xlpm.project)*(TRIM(Sources!$D$2:$D$461)=_xlpm.attribute),
   Sources!$E$2:$E$461,
   "UNKNOWN"
 )
)</f>
        <v>UNKNOWN</v>
      </c>
      <c r="I12" t="str" cm="1">
        <f t="array" ref="I12">_xlfn.LET(
 _xlpm.project,TRIM($C12),
 _xlpm.attribute,TRIM(IF(I$3&lt;&gt;"",I$3,I$2)),
 _xlfn.XLOOKUP(
   1,
   (TRIM(Sources!$B$2:$B$461)=_xlpm.project)*(TRIM(Sources!$D$2:$D$461)=_xlpm.attribute),
   Sources!$E$2:$E$461,
   "UNKNOWN"
 )
)</f>
        <v>Institutional custodian (regulated)</v>
      </c>
      <c r="J12" t="str" cm="1">
        <f t="array" ref="J12">_xlfn.LET(
 _xlpm.project,TRIM($C12),
 _xlpm.attribute,TRIM(IF(J$3&lt;&gt;"",J$3,J$2)),
 _xlfn.XLOOKUP(
   1,
   (TRIM(Sources!$B$2:$B$461)=_xlpm.project)*(TRIM(Sources!$D$2:$D$461)=_xlpm.attribute),
   Sources!$E$2:$E$461,
   "UNKNOWN"
 )
)</f>
        <v>OTHER - Limited Partnership</v>
      </c>
      <c r="K12" t="str" cm="1">
        <f t="array" ref="K12">_xlfn.LET(
 _xlpm.project,TRIM($C12),
 _xlpm.attribute,TRIM(IF(K$3&lt;&gt;"",K$3,K$2)),
 _xlfn.XLOOKUP(
   1,
   (TRIM(Sources!$B$2:$B$461)=_xlpm.project)*(TRIM(Sources!$D$2:$D$461)=_xlpm.attribute),
   Sources!$E$2:$E$461,
   "UNKNOWN"
 )
)</f>
        <v>UNKNOWN</v>
      </c>
      <c r="L12" t="str" cm="1">
        <f t="array" ref="L12">_xlfn.LET(
 _xlpm.project,TRIM($C12),
 _xlpm.attribute,TRIM(IF(L$3&lt;&gt;"",L$3,L$2)),
 _xlfn.XLOOKUP(
   1,
   (TRIM(Sources!$B$2:$B$461)=_xlpm.project)*(TRIM(Sources!$D$2:$D$461)=_xlpm.attribute),
   Sources!$E$2:$E$461,
   "UNKNOWN"
 )
)</f>
        <v>Pro-rata claim on asset (share of pooled underlying)</v>
      </c>
      <c r="M12" t="str" cm="1">
        <f t="array" ref="M12">_xlfn.LET(
 _xlpm.project,TRIM($C12),
 _xlpm.attribute,TRIM(IF(M$3&lt;&gt;"",M$3,M$2)),
 _xlfn.XLOOKUP(
   1,
   (TRIM(Sources!$B$2:$B$461)=_xlpm.project)*(TRIM(Sources!$D$2:$D$461)=_xlpm.attribute),
   Sources!$E$2:$E$461,
   "UNKNOWN"
 )
)</f>
        <v>Redemption right; Interest entitlement</v>
      </c>
      <c r="N12" t="str" cm="1">
        <f t="array" ref="N12">_xlfn.LET(
 _xlpm.project,TRIM($C12),
 _xlpm.attribute,TRIM(IF(N$3&lt;&gt;"",N$3,N$2)),
 _xlfn.XLOOKUP(
   1,
   (TRIM(Sources!$B$2:$B$461)=_xlpm.project)*(TRIM(Sources!$D$2:$D$461)=_xlpm.attribute),
   Sources!$E$2:$E$461,
   "UNKNOWN"
 )
)</f>
        <v>Fixed income (government/corporate bonds)</v>
      </c>
      <c r="O12" t="str" cm="1">
        <f t="array" ref="O12">_xlfn.LET(
 _xlpm.project,TRIM($C12),
 _xlpm.attribute,TRIM(IF(O$3&lt;&gt;"",O$3,O$2)),
 _xlfn.XLOOKUP(
   1,
   (TRIM(Sources!$B$2:$B$461)=_xlpm.project)*(TRIM(Sources!$D$2:$D$461)=_xlpm.attribute),
   Sources!$E$2:$E$461,
   "UNKNOWN"
 )
)</f>
        <v>Yes; annual; https://docs.ondo.finance/qualified-access-products/ousg/trust-and-transparency</v>
      </c>
      <c r="P12" t="str" cm="1">
        <f t="array" ref="P12">_xlfn.LET(
 _xlpm.project,TRIM($C12),
 _xlpm.attribute,TRIM(IF(P$3&lt;&gt;"",P$3,P$2)),
 _xlfn.XLOOKUP(
   1,
   (TRIM(Sources!$B$2:$B$461)=_xlpm.project)*(TRIM(Sources!$D$2:$D$461)=_xlpm.attribute),
   Sources!$E$2:$E$461,
   "UNKNOWN"
 )
)</f>
        <v>Smart contract oracle feed</v>
      </c>
      <c r="Q12" t="str" cm="1">
        <f t="array" ref="Q12">_xlfn.LET(
 _xlpm.project,TRIM($C12),
 _xlpm.attribute,TRIM(IF(Q$3&lt;&gt;"",Q$3,Q$2)),
 _xlfn.XLOOKUP(
   1,
   (TRIM(Sources!$B$2:$B$461)=_xlpm.project)*(TRIM(Sources!$D$2:$D$461)=_xlpm.attribute),
   Sources!$E$2:$E$461,
   "UNKNOWN"
 )
)</f>
        <v>Fractionalized</v>
      </c>
      <c r="R12" t="str" cm="1">
        <f t="array" ref="R12">_xlfn.LET(
 _xlpm.project,TRIM($C12),
 _xlpm.attribute,TRIM(IF(R$3&lt;&gt;"",R$3,R$2)),
 _xlfn.XLOOKUP(
   1,
   (TRIM(Sources!$B$2:$B$461)=_xlpm.project)*(TRIM(Sources!$D$2:$D$461)=_xlpm.attribute),
   Sources!$E$2:$E$461,
   "UNKNOWN"
 )
)</f>
        <v>In-kind (other token)</v>
      </c>
      <c r="S12" t="str" cm="1">
        <f t="array" ref="S12">_xlfn.LET(
 _xlpm.project,TRIM($C12),
 _xlpm.attribute,TRIM(IF(S$3&lt;&gt;"",S$3,S$2)),
 _xlfn.XLOOKUP(
   1,
   (TRIM(Sources!$B$2:$B$461)=_xlpm.project)*(TRIM(Sources!$D$2:$D$461)=_xlpm.attribute),
   Sources!$E$2:$E$461,
   "UNKNOWN"
 )
)</f>
        <v>UNKNOWN</v>
      </c>
      <c r="T12" t="str" cm="1">
        <f t="array" ref="T12">_xlfn.LET(
 _xlpm.project,TRIM($C12),
 _xlpm.attribute,TRIM(IF(T$3&lt;&gt;"",T$3,T$2)),
 _xlfn.XLOOKUP(
   1,
   (TRIM(Sources!$B$2:$B$461)=_xlpm.project)*(TRIM(Sources!$D$2:$D$461)=_xlpm.attribute),
   Sources!$E$2:$E$461,
   "UNKNOWN"
 )
)</f>
        <v>Whitelist-restricted</v>
      </c>
      <c r="U12" t="str" cm="1">
        <f t="array" ref="U12">_xlfn.LET(
 _xlpm.project,TRIM($C12),
 _xlpm.attribute,TRIM(IF(U$3&lt;&gt;"",U$3,U$2)),
 _xlfn.XLOOKUP(
   1,
   (TRIM(Sources!$B$2:$B$461)=_xlpm.project)*(TRIM(Sources!$D$2:$D$461)=_xlpm.attribute),
   Sources!$E$2:$E$461,
   "UNKNOWN"
 )
)</f>
        <v>Interest income</v>
      </c>
      <c r="V12" t="str" cm="1">
        <f t="array" ref="V12">_xlfn.LET(
 _xlpm.project,TRIM($C12),
 _xlpm.attribute,TRIM(IF(V$3&lt;&gt;"",V$3,V$2)),
 _xlfn.XLOOKUP(
   1,
   (TRIM(Sources!$B$2:$B$461)=_xlpm.project)*(TRIM(Sources!$D$2:$D$461)=_xlpm.attribute),
   Sources!$E$2:$E$461,
   "UNKNOWN"
 )
)</f>
        <v>Accrual</v>
      </c>
      <c r="W12" t="str" cm="1">
        <f t="array" ref="W12">_xlfn.LET(
 _xlpm.project,TRIM($C12),
 _xlpm.attribute,TRIM(IF(W$3&lt;&gt;"",W$3,W$2)),
 _xlfn.XLOOKUP(
   1,
   (TRIM(Sources!$B$2:$B$461)=_xlpm.project)*(TRIM(Sources!$D$2:$D$461)=_xlpm.attribute),
   Sources!$E$2:$E$461,
   "UNKNOWN"
 )
)</f>
        <v>UNKNOWN</v>
      </c>
      <c r="X12" t="str" cm="1">
        <f t="array" ref="X12">_xlfn.LET(
 _xlpm.project,TRIM($C12),
 _xlpm.attribute,TRIM(IF(X$3&lt;&gt;"",X$3,X$2)),
 _xlfn.XLOOKUP(
   1,
   (TRIM(Sources!$B$2:$B$461)=_xlpm.project)*(TRIM(Sources!$D$2:$D$461)=_xlpm.attribute),
   Sources!$E$2:$E$461,
   "UNKNOWN"
 )
)</f>
        <v>Minting/subscription; redemption; transfer permissioning; on-chain price oracle; multichain token issuance</v>
      </c>
      <c r="Y12" t="str" cm="1">
        <f t="array" ref="Y12">_xlfn.LET(
 _xlpm.project,TRIM($C12),
 _xlpm.attribute,TRIM(IF(Y$3&lt;&gt;"",Y$3,Y$2)),
 _xlfn.XLOOKUP(
   1,
   (TRIM(Sources!$B$2:$B$461)=_xlpm.project)*(TRIM(Sources!$D$2:$D$461)=_xlpm.attribute),
   Sources!$E$2:$E$461,
   "UNKNOWN"
 )
)</f>
        <v>Ethereum; Polygon; Solana; XRP Ledger</v>
      </c>
      <c r="Z12" t="str" cm="1">
        <f t="array" ref="Z12">_xlfn.LET(
 _xlpm.project,TRIM($C12),
 _xlpm.attribute,TRIM(IF(Z$3&lt;&gt;"",Z$3,Z$2)),
 _xlfn.XLOOKUP(
   1,
   (TRIM(Sources!$B$2:$B$461)=_xlpm.project)*(TRIM(Sources!$D$2:$D$461)=_xlpm.attribute),
   Sources!$E$2:$E$461,
   "UNKNOWN"
 )
)</f>
        <v>Collateral in lending (Flux Finance)</v>
      </c>
      <c r="AA12" t="str" cm="1">
        <f t="array" ref="AA12">_xlfn.LET(
 _xlpm.project,TRIM($C12),
 _xlpm.attribute,TRIM(IF(AA$3&lt;&gt;"",AA$3,AA$2)),
 _xlfn.XLOOKUP(
   1,
   (TRIM(Sources!$B$2:$B$461)=_xlpm.project)*(TRIM(Sources!$D$2:$D$461)=_xlpm.attribute),
   Sources!$E$2:$E$461,
   "UNKNOWN"
 )
)</f>
        <v>management fee</v>
      </c>
      <c r="AB12" t="str" cm="1">
        <f t="array" ref="AB12">_xlfn.LET(
 _xlpm.project,TRIM($C12),
 _xlpm.attribute,TRIM(IF(AB$3&lt;&gt;"",AB$3,AB$2)),
 _xlfn.XLOOKUP(
   1,
   (TRIM(Sources!$B$2:$B$461)=_xlpm.project)*(TRIM(Sources!$D$2:$D$461)=_xlpm.attribute),
   Sources!$E$2:$E$461,
   "UNKNOWN"
 )
)</f>
        <v>Qualified investors only; KYC gated; Whitelisted only</v>
      </c>
    </row>
    <row r="13" spans="1:28">
      <c r="A13" s="115"/>
      <c r="B13">
        <v>10</v>
      </c>
      <c r="C13" t="s">
        <v>437</v>
      </c>
      <c r="D13" s="25">
        <v>46143</v>
      </c>
      <c r="E13">
        <v>10</v>
      </c>
      <c r="F13" t="str" cm="1">
        <f t="array" ref="F13">_xlfn.LET(
 _xlpm.project,TRIM($C13),
 _xlpm.attribute,TRIM(IF(F$3&lt;&gt;"",F$3,F$2)),
 _xlfn.XLOOKUP(
   1,
   (TRIM(Sources!$B$2:$B$461)=_xlpm.project)*(TRIM(Sources!$D$2:$D$461)=_xlpm.attribute),
   Sources!$E$2:$E$461,
   "UNKNOWN"
 )
)</f>
        <v>BVI</v>
      </c>
      <c r="G13" t="str" cm="1">
        <f t="array" ref="G13">_xlfn.LET(
 _xlpm.project,TRIM($C13),
 _xlpm.attribute,TRIM(IF(G$3&lt;&gt;"",G$3,G$2)),
 _xlfn.XLOOKUP(
   1,
   (TRIM(Sources!$B$2:$B$461)=_xlpm.project)*(TRIM(Sources!$D$2:$D$461)=_xlpm.attribute),
   Sources!$E$2:$E$461,
   "UNKNOWN"
 )
)</f>
        <v>Direct Issuer: Ltd.</v>
      </c>
      <c r="H13" t="str" cm="1">
        <f t="array" ref="H13">_xlfn.LET(
 _xlpm.project,TRIM($C13),
 _xlpm.attribute,TRIM(IF(H$3&lt;&gt;"",H$3,H$2)),
 _xlfn.XLOOKUP(
   1,
   (TRIM(Sources!$B$2:$B$461)=_xlpm.project)*(TRIM(Sources!$D$2:$D$461)=_xlpm.attribute),
   Sources!$E$2:$E$461,
   "UNKNOWN"
 )
)</f>
        <v>UNKNOWN</v>
      </c>
      <c r="I13" t="str" cm="1">
        <f t="array" ref="I13">_xlfn.LET(
 _xlpm.project,TRIM($C13),
 _xlpm.attribute,TRIM(IF(I$3&lt;&gt;"",I$3,I$2)),
 _xlfn.XLOOKUP(
   1,
   (TRIM(Sources!$B$2:$B$461)=_xlpm.project)*(TRIM(Sources!$D$2:$D$461)=_xlpm.attribute),
   Sources!$E$2:$E$461,
   "UNKNOWN"
 )
)</f>
        <v>Institutional custodian (regulated)</v>
      </c>
      <c r="J13" t="str" cm="1">
        <f t="array" ref="J13">_xlfn.LET(
 _xlpm.project,TRIM($C13),
 _xlpm.attribute,TRIM(IF(J$3&lt;&gt;"",J$3,J$2)),
 _xlfn.XLOOKUP(
   1,
   (TRIM(Sources!$B$2:$B$461)=_xlpm.project)*(TRIM(Sources!$D$2:$D$461)=_xlpm.attribute),
   Sources!$E$2:$E$461,
   "UNKNOWN"
 )
)</f>
        <v>SPV held</v>
      </c>
      <c r="K13" t="str" cm="1">
        <f t="array" ref="K13">_xlfn.LET(
 _xlpm.project,TRIM($C13),
 _xlpm.attribute,TRIM(IF(K$3&lt;&gt;"",K$3,K$2)),
 _xlfn.XLOOKUP(
   1,
   (TRIM(Sources!$B$2:$B$461)=_xlpm.project)*(TRIM(Sources!$D$2:$D$461)=_xlpm.attribute),
   Sources!$E$2:$E$461,
   "UNKNOWN"
 )
)</f>
        <v>UNKNOWN</v>
      </c>
      <c r="L13" t="str" cm="1">
        <f t="array" ref="L13">_xlfn.LET(
 _xlpm.project,TRIM($C13),
 _xlpm.attribute,TRIM(IF(L$3&lt;&gt;"",L$3,L$2)),
 _xlfn.XLOOKUP(
   1,
   (TRIM(Sources!$B$2:$B$461)=_xlpm.project)*(TRIM(Sources!$D$2:$D$461)=_xlpm.attribute),
   Sources!$E$2:$E$461,
   "UNKNOWN"
 )
)</f>
        <v>Pro-rata claim on asset (share of pooled underlying)</v>
      </c>
      <c r="M13" t="str" cm="1">
        <f t="array" ref="M13">_xlfn.LET(
 _xlpm.project,TRIM($C13),
 _xlpm.attribute,TRIM(IF(M$3&lt;&gt;"",M$3,M$2)),
 _xlfn.XLOOKUP(
   1,
   (TRIM(Sources!$B$2:$B$461)=_xlpm.project)*(TRIM(Sources!$D$2:$D$461)=_xlpm.attribute),
   Sources!$E$2:$E$461,
   "UNKNOWN"
 )
)</f>
        <v>Redemption right; Income distribution right; Interest entitlement</v>
      </c>
      <c r="N13" t="str" cm="1">
        <f t="array" ref="N13">_xlfn.LET(
 _xlpm.project,TRIM($C13),
 _xlpm.attribute,TRIM(IF(N$3&lt;&gt;"",N$3,N$2)),
 _xlfn.XLOOKUP(
   1,
   (TRIM(Sources!$B$2:$B$461)=_xlpm.project)*(TRIM(Sources!$D$2:$D$461)=_xlpm.attribute),
   Sources!$E$2:$E$461,
   "UNKNOWN"
 )
)</f>
        <v>Fixed income (government/corporate bonds)</v>
      </c>
      <c r="O13" t="str" cm="1">
        <f t="array" ref="O13">_xlfn.LET(
 _xlpm.project,TRIM($C13),
 _xlpm.attribute,TRIM(IF(O$3&lt;&gt;"",O$3,O$2)),
 _xlfn.XLOOKUP(
   1,
   (TRIM(Sources!$B$2:$B$461)=_xlpm.project)*(TRIM(Sources!$D$2:$D$461)=_xlpm.attribute),
   Sources!$E$2:$E$461,
   "UNKNOWN"
 )
)</f>
        <v>Yes; frequency UNKNOWN; https://www.businesswire.com/news/home/20240320771318/en/BlackRock-Launches-Its-First-Tokenized-Fund-BUIDL-on-the-Ethereum-Network</v>
      </c>
      <c r="P13" t="str" cm="1">
        <f t="array" ref="P13">_xlfn.LET(
 _xlpm.project,TRIM($C13),
 _xlpm.attribute,TRIM(IF(P$3&lt;&gt;"",P$3,P$2)),
 _xlfn.XLOOKUP(
   1,
   (TRIM(Sources!$B$2:$B$461)=_xlpm.project)*(TRIM(Sources!$D$2:$D$461)=_xlpm.attribute),
   Sources!$E$2:$E$461,
   "UNKNOWN"
 )
)</f>
        <v>UNKNOWN</v>
      </c>
      <c r="Q13" t="str" cm="1">
        <f t="array" ref="Q13">_xlfn.LET(
 _xlpm.project,TRIM($C13),
 _xlpm.attribute,TRIM(IF(Q$3&lt;&gt;"",Q$3,Q$2)),
 _xlfn.XLOOKUP(
   1,
   (TRIM(Sources!$B$2:$B$461)=_xlpm.project)*(TRIM(Sources!$D$2:$D$461)=_xlpm.attribute),
   Sources!$E$2:$E$461,
   "UNKNOWN"
 )
)</f>
        <v>Fractionalized</v>
      </c>
      <c r="R13" t="str" cm="1">
        <f t="array" ref="R13">_xlfn.LET(
 _xlpm.project,TRIM($C13),
 _xlpm.attribute,TRIM(IF(R$3&lt;&gt;"",R$3,R$2)),
 _xlfn.XLOOKUP(
   1,
   (TRIM(Sources!$B$2:$B$461)=_xlpm.project)*(TRIM(Sources!$D$2:$D$461)=_xlpm.attribute),
   Sources!$E$2:$E$461,
   "UNKNOWN"
 )
)</f>
        <v>UNKNOWN</v>
      </c>
      <c r="S13" t="str" cm="1">
        <f t="array" ref="S13">_xlfn.LET(
 _xlpm.project,TRIM($C13),
 _xlpm.attribute,TRIM(IF(S$3&lt;&gt;"",S$3,S$2)),
 _xlfn.XLOOKUP(
   1,
   (TRIM(Sources!$B$2:$B$461)=_xlpm.project)*(TRIM(Sources!$D$2:$D$461)=_xlpm.attribute),
   Sources!$E$2:$E$461,
   "UNKNOWN"
 )
)</f>
        <v>UNKNOWN</v>
      </c>
      <c r="T13" t="str" cm="1">
        <f t="array" ref="T13">_xlfn.LET(
 _xlpm.project,TRIM($C13),
 _xlpm.attribute,TRIM(IF(T$3&lt;&gt;"",T$3,T$2)),
 _xlfn.XLOOKUP(
   1,
   (TRIM(Sources!$B$2:$B$461)=_xlpm.project)*(TRIM(Sources!$D$2:$D$461)=_xlpm.attribute),
   Sources!$E$2:$E$461,
   "UNKNOWN"
 )
)</f>
        <v>Whitelist-restricted</v>
      </c>
      <c r="U13" t="str" cm="1">
        <f t="array" ref="U13">_xlfn.LET(
 _xlpm.project,TRIM($C13),
 _xlpm.attribute,TRIM(IF(U$3&lt;&gt;"",U$3,U$2)),
 _xlfn.XLOOKUP(
   1,
   (TRIM(Sources!$B$2:$B$461)=_xlpm.project)*(TRIM(Sources!$D$2:$D$461)=_xlpm.attribute),
   Sources!$E$2:$E$461,
   "UNKNOWN"
 )
)</f>
        <v>Interest income</v>
      </c>
      <c r="V13" t="str" cm="1">
        <f t="array" ref="V13">_xlfn.LET(
 _xlpm.project,TRIM($C13),
 _xlpm.attribute,TRIM(IF(V$3&lt;&gt;"",V$3,V$2)),
 _xlfn.XLOOKUP(
   1,
   (TRIM(Sources!$B$2:$B$461)=_xlpm.project)*(TRIM(Sources!$D$2:$D$461)=_xlpm.attribute),
   Sources!$E$2:$E$461,
   "UNKNOWN"
 )
)</f>
        <v>Distribution</v>
      </c>
      <c r="W13" t="str" cm="1">
        <f t="array" ref="W13">_xlfn.LET(
 _xlpm.project,TRIM($C13),
 _xlpm.attribute,TRIM(IF(W$3&lt;&gt;"",W$3,W$2)),
 _xlfn.XLOOKUP(
   1,
   (TRIM(Sources!$B$2:$B$461)=_xlpm.project)*(TRIM(Sources!$D$2:$D$461)=_xlpm.attribute),
   Sources!$E$2:$E$461,
   "UNKNOWN"
 )
)</f>
        <v>Uncapped</v>
      </c>
      <c r="X13" t="str" cm="1">
        <f t="array" ref="X13">_xlfn.LET(
 _xlpm.project,TRIM($C13),
 _xlpm.attribute,TRIM(IF(X$3&lt;&gt;"",X$3,X$2)),
 _xlfn.XLOOKUP(
   1,
   (TRIM(Sources!$B$2:$B$461)=_xlpm.project)*(TRIM(Sources!$D$2:$D$461)=_xlpm.attribute),
   Sources!$E$2:$E$461,
   "UNKNOWN"
 )
)</f>
        <v>ERC-20 proxy token; transfer permissioning; smart-contract USDC off-ramp</v>
      </c>
      <c r="Y13" t="str" cm="1">
        <f t="array" ref="Y13">_xlfn.LET(
 _xlpm.project,TRIM($C13),
 _xlpm.attribute,TRIM(IF(Y$3&lt;&gt;"",Y$3,Y$2)),
 _xlfn.XLOOKUP(
   1,
   (TRIM(Sources!$B$2:$B$461)=_xlpm.project)*(TRIM(Sources!$D$2:$D$461)=_xlpm.attribute),
   Sources!$E$2:$E$461,
   "UNKNOWN"
 )
)</f>
        <v>Ethereum</v>
      </c>
      <c r="Z13" t="str" cm="1">
        <f t="array" ref="Z13">_xlfn.LET(
 _xlpm.project,TRIM($C13),
 _xlpm.attribute,TRIM(IF(Z$3&lt;&gt;"",Z$3,Z$2)),
 _xlfn.XLOOKUP(
   1,
   (TRIM(Sources!$B$2:$B$461)=_xlpm.project)*(TRIM(Sources!$D$2:$D$461)=_xlpm.attribute),
   Sources!$E$2:$E$461,
   "UNKNOWN"
 )
)</f>
        <v>Collateral for trading; DeFi access; stablecoin liquidity/off-ramp</v>
      </c>
      <c r="AA13" t="str" cm="1">
        <f t="array" ref="AA13">_xlfn.LET(
 _xlpm.project,TRIM($C13),
 _xlpm.attribute,TRIM(IF(AA$3&lt;&gt;"",AA$3,AA$2)),
 _xlfn.XLOOKUP(
   1,
   (TRIM(Sources!$B$2:$B$461)=_xlpm.project)*(TRIM(Sources!$D$2:$D$461)=_xlpm.attribute),
   Sources!$E$2:$E$461,
   "UNKNOWN"
 )
)</f>
        <v>upfront flat fee; quarterly NAV-based placement-agent fee</v>
      </c>
      <c r="AB13" t="str" cm="1">
        <f t="array" ref="AB13">_xlfn.LET(
 _xlpm.project,TRIM($C13),
 _xlpm.attribute,TRIM(IF(AB$3&lt;&gt;"",AB$3,AB$2)),
 _xlfn.XLOOKUP(
   1,
   (TRIM(Sources!$B$2:$B$461)=_xlpm.project)*(TRIM(Sources!$D$2:$D$461)=_xlpm.attribute),
   Sources!$E$2:$E$461,
   "UNKNOWN"
 )
)</f>
        <v>Qualified investors only; pre-approved investors only; Securitize Markets subscription</v>
      </c>
    </row>
    <row r="14" spans="1:28">
      <c r="A14" s="115"/>
      <c r="B14">
        <v>11</v>
      </c>
      <c r="C14" t="s">
        <v>499</v>
      </c>
      <c r="D14" s="25">
        <v>46143</v>
      </c>
      <c r="E14">
        <v>11</v>
      </c>
      <c r="F14" t="str" cm="1">
        <f t="array" ref="F14">_xlfn.LET(
 _xlpm.project,TRIM($C14),
 _xlpm.attribute,TRIM(IF(F$3&lt;&gt;"",F$3,F$2)),
 _xlfn.XLOOKUP(
   1,
   (TRIM(Sources!$B$2:$B$461)=_xlpm.project)*(TRIM(Sources!$D$2:$D$461)=_xlpm.attribute),
   Sources!$E$2:$E$461,
   "UNKNOWN"
 )
)</f>
        <v>BVI</v>
      </c>
      <c r="G14" t="str" cm="1">
        <f t="array" ref="G14">_xlfn.LET(
 _xlpm.project,TRIM($C14),
 _xlpm.attribute,TRIM(IF(G$3&lt;&gt;"",G$3,G$2)),
 _xlfn.XLOOKUP(
   1,
   (TRIM(Sources!$B$2:$B$461)=_xlpm.project)*(TRIM(Sources!$D$2:$D$461)=_xlpm.attribute),
   Sources!$E$2:$E$461,
   "UNKNOWN"
 )
)</f>
        <v>Limited Liability Company</v>
      </c>
      <c r="H14" t="str" cm="1">
        <f t="array" ref="H14">_xlfn.LET(
 _xlpm.project,TRIM($C14),
 _xlpm.attribute,TRIM(IF(H$3&lt;&gt;"",H$3,H$2)),
 _xlfn.XLOOKUP(
   1,
   (TRIM(Sources!$B$2:$B$461)=_xlpm.project)*(TRIM(Sources!$D$2:$D$461)=_xlpm.attribute),
   Sources!$E$2:$E$461,
   "UNKNOWN"
 )
)</f>
        <v>UNKNOWN</v>
      </c>
      <c r="I14" t="str" cm="1">
        <f t="array" ref="I14">_xlfn.LET(
 _xlpm.project,TRIM($C14),
 _xlpm.attribute,TRIM(IF(I$3&lt;&gt;"",I$3,I$2)),
 _xlfn.XLOOKUP(
   1,
   (TRIM(Sources!$B$2:$B$461)=_xlpm.project)*(TRIM(Sources!$D$2:$D$461)=_xlpm.attribute),
   Sources!$E$2:$E$461,
   "UNKNOWN"
 )
)</f>
        <v>Trust arrangement (intra-group, non-independent)</v>
      </c>
      <c r="J14" t="str" cm="1">
        <f t="array" ref="J14">_xlfn.LET(
 _xlpm.project,TRIM($C14),
 _xlpm.attribute,TRIM(IF(J$3&lt;&gt;"",J$3,J$2)),
 _xlfn.XLOOKUP(
   1,
   (TRIM(Sources!$B$2:$B$461)=_xlpm.project)*(TRIM(Sources!$D$2:$D$461)=_xlpm.attribute),
   Sources!$E$2:$E$461,
   "UNKNOWN"
 )
)</f>
        <v>Beneficial Ownership</v>
      </c>
      <c r="K14" t="str" cm="1">
        <f t="array" ref="K14">_xlfn.LET(
 _xlpm.project,TRIM($C14),
 _xlpm.attribute,TRIM(IF(K$3&lt;&gt;"",K$3,K$2)),
 _xlfn.XLOOKUP(
   1,
   (TRIM(Sources!$B$2:$B$461)=_xlpm.project)*(TRIM(Sources!$D$2:$D$461)=_xlpm.attribute),
   Sources!$E$2:$E$461,
   "UNKNOWN"
 )
)</f>
        <v>UNKNOWN</v>
      </c>
      <c r="L14" t="str" cm="1">
        <f t="array" ref="L14">_xlfn.LET(
 _xlpm.project,TRIM($C14),
 _xlpm.attribute,TRIM(IF(L$3&lt;&gt;"",L$3,L$2)),
 _xlfn.XLOOKUP(
   1,
   (TRIM(Sources!$B$2:$B$461)=_xlpm.project)*(TRIM(Sources!$D$2:$D$461)=_xlpm.attribute),
   Sources!$E$2:$E$461,
   "UNKNOWN"
 )
)</f>
        <v>Pro-rata claim on asset (share of pooled underlying)</v>
      </c>
      <c r="M14" t="str" cm="1">
        <f t="array" ref="M14">_xlfn.LET(
 _xlpm.project,TRIM($C14),
 _xlpm.attribute,TRIM(IF(M$3&lt;&gt;"",M$3,M$2)),
 _xlfn.XLOOKUP(
   1,
   (TRIM(Sources!$B$2:$B$461)=_xlpm.project)*(TRIM(Sources!$D$2:$D$461)=_xlpm.attribute),
   Sources!$E$2:$E$461,
   "UNKNOWN"
 )
)</f>
        <v>Redemption right; Interest entitlement</v>
      </c>
      <c r="N14" t="str" cm="1">
        <f t="array" ref="N14">_xlfn.LET(
 _xlpm.project,TRIM($C14),
 _xlpm.attribute,TRIM(IF(N$3&lt;&gt;"",N$3,N$2)),
 _xlfn.XLOOKUP(
   1,
   (TRIM(Sources!$B$2:$B$461)=_xlpm.project)*(TRIM(Sources!$D$2:$D$461)=_xlpm.attribute),
   Sources!$E$2:$E$461,
   "UNKNOWN"
 )
)</f>
        <v>Private credit / HELOC lending</v>
      </c>
      <c r="O14" t="str" cm="1">
        <f t="array" ref="O14">_xlfn.LET(
 _xlpm.project,TRIM($C14),
 _xlpm.attribute,TRIM(IF(O$3&lt;&gt;"",O$3,O$2)),
 _xlfn.XLOOKUP(
   1,
   (TRIM(Sources!$B$2:$B$461)=_xlpm.project)*(TRIM(Sources!$D$2:$D$461)=_xlpm.attribute),
   Sources!$E$2:$E$461,
   "UNKNOWN"
 )
)</f>
        <v>UNKNOWN</v>
      </c>
      <c r="P14" t="str" cm="1">
        <f t="array" ref="P14">_xlfn.LET(
 _xlpm.project,TRIM($C14),
 _xlpm.attribute,TRIM(IF(P$3&lt;&gt;"",P$3,P$2)),
 _xlfn.XLOOKUP(
   1,
   (TRIM(Sources!$B$2:$B$461)=_xlpm.project)*(TRIM(Sources!$D$2:$D$461)=_xlpm.attribute),
   Sources!$E$2:$E$461,
   "UNKNOWN"
 )
)</f>
        <v>Other</v>
      </c>
      <c r="Q14" t="str" cm="1">
        <f t="array" ref="Q14">_xlfn.LET(
 _xlpm.project,TRIM($C14),
 _xlpm.attribute,TRIM(IF(Q$3&lt;&gt;"",Q$3,Q$2)),
 _xlfn.XLOOKUP(
   1,
   (TRIM(Sources!$B$2:$B$461)=_xlpm.project)*(TRIM(Sources!$D$2:$D$461)=_xlpm.attribute),
   Sources!$E$2:$E$461,
   "UNKNOWN"
 )
)</f>
        <v>Yes</v>
      </c>
      <c r="R14" t="str" cm="1">
        <f t="array" ref="R14">_xlfn.LET(
 _xlpm.project,TRIM($C14),
 _xlpm.attribute,TRIM(IF(R$3&lt;&gt;"",R$3,R$2)),
 _xlfn.XLOOKUP(
   1,
   (TRIM(Sources!$B$2:$B$461)=_xlpm.project)*(TRIM(Sources!$D$2:$D$461)=_xlpm.attribute),
   Sources!$E$2:$E$461,
   "UNKNOWN"
 )
)</f>
        <v>In-kind (other token)</v>
      </c>
      <c r="S14" t="str" cm="1">
        <f t="array" ref="S14">_xlfn.LET(
 _xlpm.project,TRIM($C14),
 _xlpm.attribute,TRIM(IF(S$3&lt;&gt;"",S$3,S$2)),
 _xlfn.XLOOKUP(
   1,
   (TRIM(Sources!$B$2:$B$461)=_xlpm.project)*(TRIM(Sources!$D$2:$D$461)=_xlpm.attribute),
   Sources!$E$2:$E$461,
   "UNKNOWN"
 )
)</f>
        <v>UNKNOWN</v>
      </c>
      <c r="T14" t="str" cm="1">
        <f t="array" ref="T14">_xlfn.LET(
 _xlpm.project,TRIM($C14),
 _xlpm.attribute,TRIM(IF(T$3&lt;&gt;"",T$3,T$2)),
 _xlfn.XLOOKUP(
   1,
   (TRIM(Sources!$B$2:$B$461)=_xlpm.project)*(TRIM(Sources!$D$2:$D$461)=_xlpm.attribute),
   Sources!$E$2:$E$461,
   "UNKNOWN"
 )
)</f>
        <v>Unrestricted</v>
      </c>
      <c r="U14" t="str" cm="1">
        <f t="array" ref="U14">_xlfn.LET(
 _xlpm.project,TRIM($C14),
 _xlpm.attribute,TRIM(IF(U$3&lt;&gt;"",U$3,U$2)),
 _xlfn.XLOOKUP(
   1,
   (TRIM(Sources!$B$2:$B$461)=_xlpm.project)*(TRIM(Sources!$D$2:$D$461)=_xlpm.attribute),
   Sources!$E$2:$E$461,
   "UNKNOWN"
 )
)</f>
        <v>Lending interest</v>
      </c>
      <c r="V14" t="str" cm="1">
        <f t="array" ref="V14">_xlfn.LET(
 _xlpm.project,TRIM($C14),
 _xlpm.attribute,TRIM(IF(V$3&lt;&gt;"",V$3,V$2)),
 _xlfn.XLOOKUP(
   1,
   (TRIM(Sources!$B$2:$B$461)=_xlpm.project)*(TRIM(Sources!$D$2:$D$461)=_xlpm.attribute),
   Sources!$E$2:$E$461,
   "UNKNOWN"
 )
)</f>
        <v>Accrual</v>
      </c>
      <c r="W14" t="str" cm="1">
        <f t="array" ref="W14">_xlfn.LET(
 _xlpm.project,TRIM($C14),
 _xlpm.attribute,TRIM(IF(W$3&lt;&gt;"",W$3,W$2)),
 _xlfn.XLOOKUP(
   1,
   (TRIM(Sources!$B$2:$B$461)=_xlpm.project)*(TRIM(Sources!$D$2:$D$461)=_xlpm.attribute),
   Sources!$E$2:$E$461,
   "UNKNOWN"
 )
)</f>
        <v>UNKNOWN</v>
      </c>
      <c r="X14" t="str" cm="1">
        <f t="array" ref="X14">_xlfn.LET(
 _xlpm.project,TRIM($C14),
 _xlpm.attribute,TRIM(IF(X$3&lt;&gt;"",X$3,X$2)),
 _xlfn.XLOOKUP(
   1,
   (TRIM(Sources!$B$2:$B$461)=_xlpm.project)*(TRIM(Sources!$D$2:$D$461)=_xlpm.attribute),
   Sources!$E$2:$E$461,
   "UNKNOWN"
 )
)</f>
        <v>Staking; redemption/unstaking; transfer; DeFi collateral usage</v>
      </c>
      <c r="Y14" t="str" cm="1">
        <f t="array" ref="Y14">_xlfn.LET(
 _xlpm.project,TRIM($C14),
 _xlpm.attribute,TRIM(IF(Y$3&lt;&gt;"",Y$3,Y$2)),
 _xlfn.XLOOKUP(
   1,
   (TRIM(Sources!$B$2:$B$461)=_xlpm.project)*(TRIM(Sources!$D$2:$D$461)=_xlpm.attribute),
   Sources!$E$2:$E$461,
   "UNKNOWN"
 )
)</f>
        <v>Solana</v>
      </c>
      <c r="Z14" t="str" cm="1">
        <f t="array" ref="Z14">_xlfn.LET(
 _xlpm.project,TRIM($C14),
 _xlpm.attribute,TRIM(IF(Z$3&lt;&gt;"",Z$3,Z$2)),
 _xlfn.XLOOKUP(
   1,
   (TRIM(Sources!$B$2:$B$461)=_xlpm.project)*(TRIM(Sources!$D$2:$D$461)=_xlpm.attribute),
   Sources!$E$2:$E$461,
   "UNKNOWN"
 )
)</f>
        <v>Collateral in lending (Solana lending protocols)</v>
      </c>
      <c r="AA14" t="str" cm="1">
        <f t="array" ref="AA14">_xlfn.LET(
 _xlpm.project,TRIM($C14),
 _xlpm.attribute,TRIM(IF(AA$3&lt;&gt;"",AA$3,AA$2)),
 _xlfn.XLOOKUP(
   1,
   (TRIM(Sources!$B$2:$B$461)=_xlpm.project)*(TRIM(Sources!$D$2:$D$461)=_xlpm.attribute),
   Sources!$E$2:$E$461,
   "UNKNOWN"
 )
)</f>
        <v>UNKNOWN</v>
      </c>
      <c r="AB14" t="str" cm="1">
        <f t="array" ref="AB14">_xlfn.LET(
 _xlpm.project,TRIM($C14),
 _xlpm.attribute,TRIM(IF(AB$3&lt;&gt;"",AB$3,AB$2)),
 _xlfn.XLOOKUP(
   1,
   (TRIM(Sources!$B$2:$B$461)=_xlpm.project)*(TRIM(Sources!$D$2:$D$461)=_xlpm.attribute),
   Sources!$E$2:$E$461,
   "UNKNOWN"
 )
)</f>
        <v xml:space="preserve">KYC gated </v>
      </c>
    </row>
    <row r="15" spans="1:28">
      <c r="A15" s="115"/>
      <c r="B15">
        <v>12</v>
      </c>
      <c r="C15" t="s">
        <v>555</v>
      </c>
      <c r="D15" s="25">
        <v>46143</v>
      </c>
      <c r="E15">
        <v>12</v>
      </c>
      <c r="F15" t="str" cm="1">
        <f t="array" ref="F15">_xlfn.LET(
 _xlpm.project,TRIM($C15),
 _xlpm.attribute,TRIM(IF(F$3&lt;&gt;"",F$3,F$2)),
 _xlfn.XLOOKUP(
   1,
   (TRIM(Sources!$B$2:$B$461)=_xlpm.project)*(TRIM(Sources!$D$2:$D$461)=_xlpm.attribute),
   Sources!$E$2:$E$461,
   "UNKNOWN"
 )
)</f>
        <v>USA</v>
      </c>
      <c r="G15" t="str" cm="1">
        <f t="array" ref="G15">_xlfn.LET(
 _xlpm.project,TRIM($C15),
 _xlpm.attribute,TRIM(IF(G$3&lt;&gt;"",G$3,G$2)),
 _xlfn.XLOOKUP(
   1,
   (TRIM(Sources!$B$2:$B$461)=_xlpm.project)*(TRIM(Sources!$D$2:$D$461)=_xlpm.attribute),
   Sources!$E$2:$E$461,
   "UNKNOWN"
 )
)</f>
        <v>Bankruptcy remote vehicle: Trust</v>
      </c>
      <c r="H15" t="str" cm="1">
        <f t="array" ref="H15">_xlfn.LET(
 _xlpm.project,TRIM($C15),
 _xlpm.attribute,TRIM(IF(H$3&lt;&gt;"",H$3,H$2)),
 _xlfn.XLOOKUP(
   1,
   (TRIM(Sources!$B$2:$B$461)=_xlpm.project)*(TRIM(Sources!$D$2:$D$461)=_xlpm.attribute),
   Sources!$E$2:$E$461,
   "UNKNOWN"
 )
)</f>
        <v>Yes (noncumulative shareholder voting rights; special meetings for matters requiring shareholder approval)</v>
      </c>
      <c r="I15" t="str" cm="1">
        <f t="array" ref="I15">_xlfn.LET(
 _xlpm.project,TRIM($C15),
 _xlpm.attribute,TRIM(IF(I$3&lt;&gt;"",I$3,I$2)),
 _xlfn.XLOOKUP(
   1,
   (TRIM(Sources!$B$2:$B$461)=_xlpm.project)*(TRIM(Sources!$D$2:$D$461)=_xlpm.attribute),
   Sources!$E$2:$E$461,
   "UNKNOWN"
 )
)</f>
        <v>Institutional custodian (regulated)</v>
      </c>
      <c r="J15" t="str" cm="1">
        <f t="array" ref="J15">_xlfn.LET(
 _xlpm.project,TRIM($C15),
 _xlpm.attribute,TRIM(IF(J$3&lt;&gt;"",J$3,J$2)),
 _xlfn.XLOOKUP(
   1,
   (TRIM(Sources!$B$2:$B$461)=_xlpm.project)*(TRIM(Sources!$D$2:$D$461)=_xlpm.attribute),
   Sources!$E$2:$E$461,
   "UNKNOWN"
 )
)</f>
        <v>Direct title (token holder is legal owner)</v>
      </c>
      <c r="K15" t="str" cm="1">
        <f t="array" ref="K15">_xlfn.LET(
 _xlpm.project,TRIM($C15),
 _xlpm.attribute,TRIM(IF(K$3&lt;&gt;"",K$3,K$2)),
 _xlfn.XLOOKUP(
   1,
   (TRIM(Sources!$B$2:$B$461)=_xlpm.project)*(TRIM(Sources!$D$2:$D$461)=_xlpm.attribute),
   Sources!$E$2:$E$461,
   "UNKNOWN"
 )
)</f>
        <v>UNKNOWN</v>
      </c>
      <c r="L15" t="str" cm="1">
        <f t="array" ref="L15">_xlfn.LET(
 _xlpm.project,TRIM($C15),
 _xlpm.attribute,TRIM(IF(L$3&lt;&gt;"",L$3,L$2)),
 _xlfn.XLOOKUP(
   1,
   (TRIM(Sources!$B$2:$B$461)=_xlpm.project)*(TRIM(Sources!$D$2:$D$461)=_xlpm.attribute),
   Sources!$E$2:$E$461,
   "UNKNOWN"
 )
)</f>
        <v>Pro-rata claim on asset (share of pooled underlying)</v>
      </c>
      <c r="M15" t="str" cm="1">
        <f t="array" ref="M15">_xlfn.LET(
 _xlpm.project,TRIM($C15),
 _xlpm.attribute,TRIM(IF(M$3&lt;&gt;"",M$3,M$2)),
 _xlfn.XLOOKUP(
   1,
   (TRIM(Sources!$B$2:$B$461)=_xlpm.project)*(TRIM(Sources!$D$2:$D$461)=_xlpm.attribute),
   Sources!$E$2:$E$461,
   "UNKNOWN"
 )
)</f>
        <v>Redemption right; Income distribution right; Governance/voting</v>
      </c>
      <c r="N15" t="str" cm="1">
        <f t="array" ref="N15">_xlfn.LET(
 _xlpm.project,TRIM($C15),
 _xlpm.attribute,TRIM(IF(N$3&lt;&gt;"",N$3,N$2)),
 _xlfn.XLOOKUP(
   1,
   (TRIM(Sources!$B$2:$B$461)=_xlpm.project)*(TRIM(Sources!$D$2:$D$461)=_xlpm.attribute),
   Sources!$E$2:$E$461,
   "UNKNOWN"
 )
)</f>
        <v>Fixed income (government/corporate bonds)</v>
      </c>
      <c r="O15" t="str" cm="1">
        <f t="array" ref="O15">_xlfn.LET(
 _xlpm.project,TRIM($C15),
 _xlpm.attribute,TRIM(IF(O$3&lt;&gt;"",O$3,O$2)),
 _xlfn.XLOOKUP(
   1,
   (TRIM(Sources!$B$2:$B$461)=_xlpm.project)*(TRIM(Sources!$D$2:$D$461)=_xlpm.attribute),
   Sources!$E$2:$E$461,
   "UNKNOWN"
 )
)</f>
        <v>Yes; annual; https://www.franklintempleton.com/forms-literature/download-preview/9001-SAI</v>
      </c>
      <c r="P15" t="str" cm="1">
        <f t="array" ref="P15">_xlfn.LET(
 _xlpm.project,TRIM($C15),
 _xlpm.attribute,TRIM(IF(P$3&lt;&gt;"",P$3,P$2)),
 _xlfn.XLOOKUP(
   1,
   (TRIM(Sources!$B$2:$B$461)=_xlpm.project)*(TRIM(Sources!$D$2:$D$461)=_xlpm.attribute),
   Sources!$E$2:$E$461,
   "UNKNOWN"
 )
)</f>
        <v>UNKNOWN</v>
      </c>
      <c r="Q15" t="str" cm="1">
        <f t="array" ref="Q15">_xlfn.LET(
 _xlpm.project,TRIM($C15),
 _xlpm.attribute,TRIM(IF(Q$3&lt;&gt;"",Q$3,Q$2)),
 _xlfn.XLOOKUP(
   1,
   (TRIM(Sources!$B$2:$B$461)=_xlpm.project)*(TRIM(Sources!$D$2:$D$461)=_xlpm.attribute),
   Sources!$E$2:$E$461,
   "UNKNOWN"
 )
)</f>
        <v>Yes</v>
      </c>
      <c r="R15" t="str" cm="1">
        <f t="array" ref="R15">_xlfn.LET(
 _xlpm.project,TRIM($C15),
 _xlpm.attribute,TRIM(IF(R$3&lt;&gt;"",R$3,R$2)),
 _xlfn.XLOOKUP(
   1,
   (TRIM(Sources!$B$2:$B$461)=_xlpm.project)*(TRIM(Sources!$D$2:$D$461)=_xlpm.attribute),
   Sources!$E$2:$E$461,
   "UNKNOWN"
 )
)</f>
        <v>Cash</v>
      </c>
      <c r="S15" t="str" cm="1">
        <f t="array" ref="S15">_xlfn.LET(
 _xlpm.project,TRIM($C15),
 _xlpm.attribute,TRIM(IF(S$3&lt;&gt;"",S$3,S$2)),
 _xlfn.XLOOKUP(
   1,
   (TRIM(Sources!$B$2:$B$461)=_xlpm.project)*(TRIM(Sources!$D$2:$D$461)=_xlpm.attribute),
   Sources!$E$2:$E$461,
   "UNKNOWN"
 )
)</f>
        <v>UNKNOWN</v>
      </c>
      <c r="T15" t="str" cm="1">
        <f t="array" ref="T15">_xlfn.LET(
 _xlpm.project,TRIM($C15),
 _xlpm.attribute,TRIM(IF(T$3&lt;&gt;"",T$3,T$2)),
 _xlfn.XLOOKUP(
   1,
   (TRIM(Sources!$B$2:$B$461)=_xlpm.project)*(TRIM(Sources!$D$2:$D$461)=_xlpm.attribute),
   Sources!$E$2:$E$461,
   "UNKNOWN"
 )
)</f>
        <v>Whitelist-restricted</v>
      </c>
      <c r="U15" t="str" cm="1">
        <f t="array" ref="U15">_xlfn.LET(
 _xlpm.project,TRIM($C15),
 _xlpm.attribute,TRIM(IF(U$3&lt;&gt;"",U$3,U$2)),
 _xlfn.XLOOKUP(
   1,
   (TRIM(Sources!$B$2:$B$461)=_xlpm.project)*(TRIM(Sources!$D$2:$D$461)=_xlpm.attribute),
   Sources!$E$2:$E$461,
   "UNKNOWN"
 )
)</f>
        <v>Interest income</v>
      </c>
      <c r="V15" t="str" cm="1">
        <f t="array" ref="V15">_xlfn.LET(
 _xlpm.project,TRIM($C15),
 _xlpm.attribute,TRIM(IF(V$3&lt;&gt;"",V$3,V$2)),
 _xlfn.XLOOKUP(
   1,
   (TRIM(Sources!$B$2:$B$461)=_xlpm.project)*(TRIM(Sources!$D$2:$D$461)=_xlpm.attribute),
   Sources!$E$2:$E$461,
   "UNKNOWN"
 )
)</f>
        <v>Rebase</v>
      </c>
      <c r="W15" t="str" cm="1">
        <f t="array" ref="W15">_xlfn.LET(
 _xlpm.project,TRIM($C15),
 _xlpm.attribute,TRIM(IF(W$3&lt;&gt;"",W$3,W$2)),
 _xlfn.XLOOKUP(
   1,
   (TRIM(Sources!$B$2:$B$461)=_xlpm.project)*(TRIM(Sources!$D$2:$D$461)=_xlpm.attribute),
   Sources!$E$2:$E$461,
   "UNKNOWN"
 )
)</f>
        <v>UNKNOWN</v>
      </c>
      <c r="X15" t="str" cm="1">
        <f t="array" ref="X15">_xlfn.LET(
 _xlpm.project,TRIM($C15),
 _xlpm.attribute,TRIM(IF(X$3&lt;&gt;"",X$3,X$2)),
 _xlfn.XLOOKUP(
   1,
   (TRIM(Sources!$B$2:$B$461)=_xlpm.project)*(TRIM(Sources!$D$2:$D$461)=_xlpm.attribute),
   Sources!$E$2:$E$461,
   "UNKNOWN"
 )
)</f>
        <v>Token issuance/recordkeeping; transfer permissioning; peer-to-peer transfer; wallet permissioning; intraday yield distribution; administrative/clawback controls</v>
      </c>
      <c r="Y15" t="str" cm="1">
        <f t="array" ref="Y15">_xlfn.LET(
 _xlpm.project,TRIM($C15),
 _xlpm.attribute,TRIM(IF(Y$3&lt;&gt;"",Y$3,Y$2)),
 _xlfn.XLOOKUP(
   1,
   (TRIM(Sources!$B$2:$B$461)=_xlpm.project)*(TRIM(Sources!$D$2:$D$461)=_xlpm.attribute),
   Sources!$E$2:$E$461,
   "UNKNOWN"
 )
)</f>
        <v>Stellar; Polygon; Arbitrum; Avalanche; Aptos; Ethereum; Base; Solana; BNB Smart Chain</v>
      </c>
      <c r="Z15" t="str" cm="1">
        <f t="array" ref="Z15">_xlfn.LET(
 _xlpm.project,TRIM($C15),
 _xlpm.attribute,TRIM(IF(Z$3&lt;&gt;"",Z$3,Z$2)),
 _xlfn.XLOOKUP(
   1,
   (TRIM(Sources!$B$2:$B$461)=_xlpm.project)*(TRIM(Sources!$D$2:$D$461)=_xlpm.attribute),
   Sources!$E$2:$E$461,
   "UNKNOWN"
 )
)</f>
        <v>Collateral when trading on Binance</v>
      </c>
      <c r="AA15" t="str" cm="1">
        <f t="array" ref="AA15">_xlfn.LET(
 _xlpm.project,TRIM($C15),
 _xlpm.attribute,TRIM(IF(AA$3&lt;&gt;"",AA$3,AA$2)),
 _xlfn.XLOOKUP(
   1,
   (TRIM(Sources!$B$2:$B$461)=_xlpm.project)*(TRIM(Sources!$D$2:$D$461)=_xlpm.attribute),
   Sources!$E$2:$E$461,
   "UNKNOWN"
 )
)</f>
        <v>management fee</v>
      </c>
      <c r="AB15" t="str" cm="1">
        <f t="array" ref="AB15">_xlfn.LET(
 _xlpm.project,TRIM($C15),
 _xlpm.attribute,TRIM(IF(AB$3&lt;&gt;"",AB$3,AB$2)),
 _xlfn.XLOOKUP(
   1,
   (TRIM(Sources!$B$2:$B$461)=_xlpm.project)*(TRIM(Sources!$D$2:$D$461)=_xlpm.attribute),
   Sources!$E$2:$E$461,
   "UNKNOWN"
 )
)</f>
        <v>KYC gated; Whitelisted only</v>
      </c>
    </row>
    <row r="16" spans="1:28">
      <c r="A16" s="115"/>
      <c r="B16">
        <v>13</v>
      </c>
      <c r="C16" t="s">
        <v>606</v>
      </c>
      <c r="D16" s="25">
        <v>46143</v>
      </c>
      <c r="E16">
        <v>13</v>
      </c>
      <c r="F16" t="str" cm="1">
        <f t="array" ref="F16">_xlfn.LET(
 _xlpm.project,TRIM($C16),
 _xlpm.attribute,TRIM(IF(F$3&lt;&gt;"",F$3,F$2)),
 _xlfn.XLOOKUP(
   1,
   (TRIM(Sources!$B$2:$B$461)=_xlpm.project)*(TRIM(Sources!$D$2:$D$461)=_xlpm.attribute),
   Sources!$E$2:$E$461,
   "UNKNOWN"
 )
)</f>
        <v>USA</v>
      </c>
      <c r="G16" t="str" cm="1">
        <f t="array" ref="G16">_xlfn.LET(
 _xlpm.project,TRIM($C16),
 _xlpm.attribute,TRIM(IF(G$3&lt;&gt;"",G$3,G$2)),
 _xlfn.XLOOKUP(
   1,
   (TRIM(Sources!$B$2:$B$461)=_xlpm.project)*(TRIM(Sources!$D$2:$D$461)=_xlpm.attribute),
   Sources!$E$2:$E$461,
   "UNKNOWN"
 )
)</f>
        <v>Bankruptcy remote vehicle: Trust</v>
      </c>
      <c r="H16" t="str" cm="1">
        <f t="array" ref="H16">_xlfn.LET(
 _xlpm.project,TRIM($C16),
 _xlpm.attribute,TRIM(IF(H$3&lt;&gt;"",H$3,H$2)),
 _xlfn.XLOOKUP(
   1,
   (TRIM(Sources!$B$2:$B$461)=_xlpm.project)*(TRIM(Sources!$D$2:$D$461)=_xlpm.attribute),
   Sources!$E$2:$E$461,
   "UNKNOWN"
 )
)</f>
        <v>UNKNOWN</v>
      </c>
      <c r="I16" t="str" cm="1">
        <f t="array" ref="I16">_xlfn.LET(
 _xlpm.project,TRIM($C16),
 _xlpm.attribute,TRIM(IF(I$3&lt;&gt;"",I$3,I$2)),
 _xlfn.XLOOKUP(
   1,
   (TRIM(Sources!$B$2:$B$461)=_xlpm.project)*(TRIM(Sources!$D$2:$D$461)=_xlpm.attribute),
   Sources!$E$2:$E$461,
   "UNKNOWN"
 )
)</f>
        <v>Institutional custodian (regulated)</v>
      </c>
      <c r="J16" t="str" cm="1">
        <f t="array" ref="J16">_xlfn.LET(
 _xlpm.project,TRIM($C16),
 _xlpm.attribute,TRIM(IF(J$3&lt;&gt;"",J$3,J$2)),
 _xlfn.XLOOKUP(
   1,
   (TRIM(Sources!$B$2:$B$461)=_xlpm.project)*(TRIM(Sources!$D$2:$D$461)=_xlpm.attribute),
   Sources!$E$2:$E$461,
   "UNKNOWN"
 )
)</f>
        <v>SPV held</v>
      </c>
      <c r="K16" t="str" cm="1">
        <f t="array" ref="K16">_xlfn.LET(
 _xlpm.project,TRIM($C16),
 _xlpm.attribute,TRIM(IF(K$3&lt;&gt;"",K$3,K$2)),
 _xlfn.XLOOKUP(
   1,
   (TRIM(Sources!$B$2:$B$461)=_xlpm.project)*(TRIM(Sources!$D$2:$D$461)=_xlpm.attribute),
   Sources!$E$2:$E$461,
   "UNKNOWN"
 )
)</f>
        <v>UNKNOWN</v>
      </c>
      <c r="L16" t="str" cm="1">
        <f t="array" ref="L16">_xlfn.LET(
 _xlpm.project,TRIM($C16),
 _xlpm.attribute,TRIM(IF(L$3&lt;&gt;"",L$3,L$2)),
 _xlfn.XLOOKUP(
   1,
   (TRIM(Sources!$B$2:$B$461)=_xlpm.project)*(TRIM(Sources!$D$2:$D$461)=_xlpm.attribute),
   Sources!$E$2:$E$461,
   "UNKNOWN"
 )
)</f>
        <v>Pro-rata claim on asset (share of pooled underlying)</v>
      </c>
      <c r="M16" t="str" cm="1">
        <f t="array" ref="M16">_xlfn.LET(
 _xlpm.project,TRIM($C16),
 _xlpm.attribute,TRIM(IF(M$3&lt;&gt;"",M$3,M$2)),
 _xlfn.XLOOKUP(
   1,
   (TRIM(Sources!$B$2:$B$461)=_xlpm.project)*(TRIM(Sources!$D$2:$D$461)=_xlpm.attribute),
   Sources!$E$2:$E$461,
   "UNKNOWN"
 )
)</f>
        <v>Redemption right; Interest entitlement</v>
      </c>
      <c r="N16" t="str" cm="1">
        <f t="array" ref="N16">_xlfn.LET(
 _xlpm.project,TRIM($C16),
 _xlpm.attribute,TRIM(IF(N$3&lt;&gt;"",N$3,N$2)),
 _xlfn.XLOOKUP(
   1,
   (TRIM(Sources!$B$2:$B$461)=_xlpm.project)*(TRIM(Sources!$D$2:$D$461)=_xlpm.attribute),
   Sources!$E$2:$E$461,
   "UNKNOWN"
 )
)</f>
        <v>crypto basis positions, staking and/or U.S. Treasury securities</v>
      </c>
      <c r="O16" t="str" cm="1">
        <f t="array" ref="O16">_xlfn.LET(
 _xlpm.project,TRIM($C16),
 _xlpm.attribute,TRIM(IF(O$3&lt;&gt;"",O$3,O$2)),
 _xlfn.XLOOKUP(
   1,
   (TRIM(Sources!$B$2:$B$461)=_xlpm.project)*(TRIM(Sources!$D$2:$D$461)=_xlpm.attribute),
   Sources!$E$2:$E$461,
   "UNKNOWN"
 )
)</f>
        <v>Yes; annual; https://superstate.com/assets/uscc</v>
      </c>
      <c r="P16" t="str" cm="1">
        <f t="array" ref="P16">_xlfn.LET(
 _xlpm.project,TRIM($C16),
 _xlpm.attribute,TRIM(IF(P$3&lt;&gt;"",P$3,P$2)),
 _xlfn.XLOOKUP(
   1,
   (TRIM(Sources!$B$2:$B$461)=_xlpm.project)*(TRIM(Sources!$D$2:$D$461)=_xlpm.attribute),
   Sources!$E$2:$E$461,
   "UNKNOWN"
 )
)</f>
        <v>Smart contract oracle feed</v>
      </c>
      <c r="Q16" t="str" cm="1">
        <f t="array" ref="Q16">_xlfn.LET(
 _xlpm.project,TRIM($C16),
 _xlpm.attribute,TRIM(IF(Q$3&lt;&gt;"",Q$3,Q$2)),
 _xlfn.XLOOKUP(
   1,
   (TRIM(Sources!$B$2:$B$461)=_xlpm.project)*(TRIM(Sources!$D$2:$D$461)=_xlpm.attribute),
   Sources!$E$2:$E$461,
   "UNKNOWN"
 )
)</f>
        <v>Fractionalized</v>
      </c>
      <c r="R16" t="str" cm="1">
        <f t="array" ref="R16">_xlfn.LET(
 _xlpm.project,TRIM($C16),
 _xlpm.attribute,TRIM(IF(R$3&lt;&gt;"",R$3,R$2)),
 _xlfn.XLOOKUP(
   1,
   (TRIM(Sources!$B$2:$B$461)=_xlpm.project)*(TRIM(Sources!$D$2:$D$461)=_xlpm.attribute),
   Sources!$E$2:$E$461,
   "UNKNOWN"
 )
)</f>
        <v>Combination</v>
      </c>
      <c r="S16" t="str" cm="1">
        <f t="array" ref="S16">_xlfn.LET(
 _xlpm.project,TRIM($C16),
 _xlpm.attribute,TRIM(IF(S$3&lt;&gt;"",S$3,S$2)),
 _xlfn.XLOOKUP(
   1,
   (TRIM(Sources!$B$2:$B$461)=_xlpm.project)*(TRIM(Sources!$D$2:$D$461)=_xlpm.attribute),
   Sources!$E$2:$E$461,
   "UNKNOWN"
 )
)</f>
        <v>Yes</v>
      </c>
      <c r="T16" t="str" cm="1">
        <f t="array" ref="T16">_xlfn.LET(
 _xlpm.project,TRIM($C16),
 _xlpm.attribute,TRIM(IF(T$3&lt;&gt;"",T$3,T$2)),
 _xlfn.XLOOKUP(
   1,
   (TRIM(Sources!$B$2:$B$461)=_xlpm.project)*(TRIM(Sources!$D$2:$D$461)=_xlpm.attribute),
   Sources!$E$2:$E$461,
   "UNKNOWN"
 )
)</f>
        <v>Whitelist-restricted</v>
      </c>
      <c r="U16" t="str" cm="1">
        <f t="array" ref="U16">_xlfn.LET(
 _xlpm.project,TRIM($C16),
 _xlpm.attribute,TRIM(IF(U$3&lt;&gt;"",U$3,U$2)),
 _xlfn.XLOOKUP(
   1,
   (TRIM(Sources!$B$2:$B$461)=_xlpm.project)*(TRIM(Sources!$D$2:$D$461)=_xlpm.attribute),
   Sources!$E$2:$E$461,
   "UNKNOWN"
 )
)</f>
        <v>basis accrual, staking rewards, and mark-to-market effects</v>
      </c>
      <c r="V16" t="str" cm="1">
        <f t="array" ref="V16">_xlfn.LET(
 _xlpm.project,TRIM($C16),
 _xlpm.attribute,TRIM(IF(V$3&lt;&gt;"",V$3,V$2)),
 _xlfn.XLOOKUP(
   1,
   (TRIM(Sources!$B$2:$B$461)=_xlpm.project)*(TRIM(Sources!$D$2:$D$461)=_xlpm.attribute),
   Sources!$E$2:$E$461,
   "UNKNOWN"
 )
)</f>
        <v>Accrual</v>
      </c>
      <c r="W16" t="str" cm="1">
        <f t="array" ref="W16">_xlfn.LET(
 _xlpm.project,TRIM($C16),
 _xlpm.attribute,TRIM(IF(W$3&lt;&gt;"",W$3,W$2)),
 _xlfn.XLOOKUP(
   1,
   (TRIM(Sources!$B$2:$B$461)=_xlpm.project)*(TRIM(Sources!$D$2:$D$461)=_xlpm.attribute),
   Sources!$E$2:$E$461,
   "UNKNOWN"
 )
)</f>
        <v>UNKNOWN</v>
      </c>
      <c r="X16" t="str" cm="1">
        <f t="array" ref="X16">_xlfn.LET(
 _xlpm.project,TRIM($C16),
 _xlpm.attribute,TRIM(IF(X$3&lt;&gt;"",X$3,X$2)),
 _xlfn.XLOOKUP(
   1,
   (TRIM(Sources!$B$2:$B$461)=_xlpm.project)*(TRIM(Sources!$D$2:$D$461)=_xlpm.attribute),
   Sources!$E$2:$E$461,
   "UNKNOWN"
 )
)</f>
        <v>Minting/subscription; redemption/burn; transfer permissioning; bridging; oracle price reporting</v>
      </c>
      <c r="Y16" t="str" cm="1">
        <f t="array" ref="Y16">_xlfn.LET(
 _xlpm.project,TRIM($C16),
 _xlpm.attribute,TRIM(IF(Y$3&lt;&gt;"",Y$3,Y$2)),
 _xlfn.XLOOKUP(
   1,
   (TRIM(Sources!$B$2:$B$461)=_xlpm.project)*(TRIM(Sources!$D$2:$D$461)=_xlpm.attribute),
   Sources!$E$2:$E$461,
   "UNKNOWN"
 )
)</f>
        <v>Ethereum; Solana; Plume</v>
      </c>
      <c r="Z16" t="str" cm="1">
        <f t="array" ref="Z16">_xlfn.LET(
 _xlpm.project,TRIM($C16),
 _xlpm.attribute,TRIM(IF(Z$3&lt;&gt;"",Z$3,Z$2)),
 _xlfn.XLOOKUP(
   1,
   (TRIM(Sources!$B$2:$B$461)=_xlpm.project)*(TRIM(Sources!$D$2:$D$461)=_xlpm.attribute),
   Sources!$E$2:$E$461,
   "UNKNOWN"
 )
)</f>
        <v>Collateral in lending (Aave; Kamino; Morpho)</v>
      </c>
      <c r="AA16" t="str" cm="1">
        <f t="array" ref="AA16">_xlfn.LET(
 _xlpm.project,TRIM($C16),
 _xlpm.attribute,TRIM(IF(AA$3&lt;&gt;"",AA$3,AA$2)),
 _xlfn.XLOOKUP(
   1,
   (TRIM(Sources!$B$2:$B$461)=_xlpm.project)*(TRIM(Sources!$D$2:$D$461)=_xlpm.attribute),
   Sources!$E$2:$E$461,
   "UNKNOWN"
 )
)</f>
        <v>custodial, administrative, and audit fees, management fee</v>
      </c>
      <c r="AB16" t="str" cm="1">
        <f t="array" ref="AB16">_xlfn.LET(
 _xlpm.project,TRIM($C16),
 _xlpm.attribute,TRIM(IF(AB$3&lt;&gt;"",AB$3,AB$2)),
 _xlfn.XLOOKUP(
   1,
   (TRIM(Sources!$B$2:$B$461)=_xlpm.project)*(TRIM(Sources!$D$2:$D$461)=_xlpm.attribute),
   Sources!$E$2:$E$461,
   "UNKNOWN"
 )
)</f>
        <v>Qualified investors only; KYC gated; Whitelisted only</v>
      </c>
    </row>
    <row r="17" spans="1:28">
      <c r="A17" s="115"/>
      <c r="B17">
        <v>14</v>
      </c>
      <c r="C17" t="s">
        <v>663</v>
      </c>
      <c r="D17" s="25">
        <v>46145</v>
      </c>
      <c r="E17">
        <v>14</v>
      </c>
      <c r="F17" t="str" cm="1">
        <f t="array" ref="F17">_xlfn.LET(
 _xlpm.project,TRIM($C17),
 _xlpm.attribute,TRIM(IF(F$3&lt;&gt;"",F$3,F$2)),
 _xlfn.XLOOKUP(
   1,
   (TRIM(Sources!$B$2:$B$461)=_xlpm.project)*(TRIM(Sources!$D$2:$D$461)=_xlpm.attribute),
   Sources!$E$2:$E$461,
   "UNKNOWN"
 )
)</f>
        <v>USA</v>
      </c>
      <c r="G17" t="str" cm="1">
        <f t="array" ref="G17">_xlfn.LET(
 _xlpm.project,TRIM($C17),
 _xlpm.attribute,TRIM(IF(G$3&lt;&gt;"",G$3,G$2)),
 _xlfn.XLOOKUP(
   1,
   (TRIM(Sources!$B$2:$B$461)=_xlpm.project)*(TRIM(Sources!$D$2:$D$461)=_xlpm.attribute),
   Sources!$E$2:$E$461,
   "UNKNOWN"
 )
)</f>
        <v>Direct Issuer: Inc.</v>
      </c>
      <c r="H17" t="str" cm="1">
        <f t="array" ref="H17">_xlfn.LET(
 _xlpm.project,TRIM($C17),
 _xlpm.attribute,TRIM(IF(H$3&lt;&gt;"",H$3,H$2)),
 _xlfn.XLOOKUP(
   1,
   (TRIM(Sources!$B$2:$B$461)=_xlpm.project)*(TRIM(Sources!$D$2:$D$461)=_xlpm.attribute),
   Sources!$E$2:$E$461,
   "UNKNOWN"
 )
)</f>
        <v>UNKNOWN</v>
      </c>
      <c r="I17" t="str" cm="1">
        <f t="array" ref="I17">_xlfn.LET(
 _xlpm.project,TRIM($C17),
 _xlpm.attribute,TRIM(IF(I$3&lt;&gt;"",I$3,I$2)),
 _xlfn.XLOOKUP(
   1,
   (TRIM(Sources!$B$2:$B$461)=_xlpm.project)*(TRIM(Sources!$D$2:$D$461)=_xlpm.attribute),
   Sources!$E$2:$E$461,
   "UNKNOWN"
 )
)</f>
        <v>N/A</v>
      </c>
      <c r="J17" t="str" cm="1">
        <f t="array" ref="J17">_xlfn.LET(
 _xlpm.project,TRIM($C17),
 _xlpm.attribute,TRIM(IF(J$3&lt;&gt;"",J$3,J$2)),
 _xlfn.XLOOKUP(
   1,
   (TRIM(Sources!$B$2:$B$461)=_xlpm.project)*(TRIM(Sources!$D$2:$D$461)=_xlpm.attribute),
   Sources!$E$2:$E$461,
   "UNKNOWN"
 )
)</f>
        <v>Direct title (token holder is legal owner)</v>
      </c>
      <c r="K17" t="str" cm="1">
        <f t="array" ref="K17">_xlfn.LET(
 _xlpm.project,TRIM($C17),
 _xlpm.attribute,TRIM(IF(K$3&lt;&gt;"",K$3,K$2)),
 _xlfn.XLOOKUP(
   1,
   (TRIM(Sources!$B$2:$B$461)=_xlpm.project)*(TRIM(Sources!$D$2:$D$461)=_xlpm.attribute),
   Sources!$E$2:$E$461,
   "UNKNOWN"
 )
)</f>
        <v>USA (Federal courts); Texas Business Court</v>
      </c>
      <c r="L17" t="str" cm="1">
        <f t="array" ref="L17">_xlfn.LET(
 _xlpm.project,TRIM($C17),
 _xlpm.attribute,TRIM(IF(L$3&lt;&gt;"",L$3,L$2)),
 _xlfn.XLOOKUP(
   1,
   (TRIM(Sources!$B$2:$B$461)=_xlpm.project)*(TRIM(Sources!$D$2:$D$461)=_xlpm.attribute),
   Sources!$E$2:$E$461,
   "UNKNOWN"
 )
)</f>
        <v>Direct Claim on asset</v>
      </c>
      <c r="M17" t="str" cm="1">
        <f t="array" ref="M17">_xlfn.LET(
 _xlpm.project,TRIM($C17),
 _xlpm.attribute,TRIM(IF(M$3&lt;&gt;"",M$3,M$2)),
 _xlfn.XLOOKUP(
   1,
   (TRIM(Sources!$B$2:$B$461)=_xlpm.project)*(TRIM(Sources!$D$2:$D$461)=_xlpm.attribute),
   Sources!$E$2:$E$461,
   "UNKNOWN"
 )
)</f>
        <v>Income distribution right; Governance/voting</v>
      </c>
      <c r="N17" t="str" cm="1">
        <f t="array" ref="N17">_xlfn.LET(
 _xlpm.project,TRIM($C17),
 _xlpm.attribute,TRIM(IF(N$3&lt;&gt;"",N$3,N$2)),
 _xlfn.XLOOKUP(
   1,
   (TRIM(Sources!$B$2:$B$461)=_xlpm.project)*(TRIM(Sources!$D$2:$D$461)=_xlpm.attribute),
   Sources!$E$2:$E$461,
   "UNKNOWN"
 )
)</f>
        <v>Equities</v>
      </c>
      <c r="O17" t="str" cm="1">
        <f t="array" ref="O17">_xlfn.LET(
 _xlpm.project,TRIM($C17),
 _xlpm.attribute,TRIM(IF(O$3&lt;&gt;"",O$3,O$2)),
 _xlfn.XLOOKUP(
   1,
   (TRIM(Sources!$B$2:$B$461)=_xlpm.project)*(TRIM(Sources!$D$2:$D$461)=_xlpm.attribute),
   Sources!$E$2:$E$461,
   "UNKNOWN"
 )
)</f>
        <v>UNKNOWN</v>
      </c>
      <c r="P17" t="str" cm="1">
        <f t="array" ref="P17">_xlfn.LET(
 _xlpm.project,TRIM($C17),
 _xlpm.attribute,TRIM(IF(P$3&lt;&gt;"",P$3,P$2)),
 _xlfn.XLOOKUP(
   1,
   (TRIM(Sources!$B$2:$B$461)=_xlpm.project)*(TRIM(Sources!$D$2:$D$461)=_xlpm.attribute),
   Sources!$E$2:$E$461,
   "UNKNOWN"
 )
)</f>
        <v>UNKNOWN</v>
      </c>
      <c r="Q17" t="str" cm="1">
        <f t="array" ref="Q17">_xlfn.LET(
 _xlpm.project,TRIM($C17),
 _xlpm.attribute,TRIM(IF(Q$3&lt;&gt;"",Q$3,Q$2)),
 _xlfn.XLOOKUP(
   1,
   (TRIM(Sources!$B$2:$B$461)=_xlpm.project)*(TRIM(Sources!$D$2:$D$461)=_xlpm.attribute),
   Sources!$E$2:$E$461,
   "UNKNOWN"
 )
)</f>
        <v>UNKNOWN</v>
      </c>
      <c r="R17" t="str" cm="1">
        <f t="array" ref="R17">_xlfn.LET(
 _xlpm.project,TRIM($C17),
 _xlpm.attribute,TRIM(IF(R$3&lt;&gt;"",R$3,R$2)),
 _xlfn.XLOOKUP(
   1,
   (TRIM(Sources!$B$2:$B$461)=_xlpm.project)*(TRIM(Sources!$D$2:$D$461)=_xlpm.attribute),
   Sources!$E$2:$E$461,
   "UNKNOWN"
 )
)</f>
        <v>N/A</v>
      </c>
      <c r="S17" t="str" cm="1">
        <f t="array" ref="S17">_xlfn.LET(
 _xlpm.project,TRIM($C17),
 _xlpm.attribute,TRIM(IF(S$3&lt;&gt;"",S$3,S$2)),
 _xlfn.XLOOKUP(
   1,
   (TRIM(Sources!$B$2:$B$461)=_xlpm.project)*(TRIM(Sources!$D$2:$D$461)=_xlpm.attribute),
   Sources!$E$2:$E$461,
   "UNKNOWN"
 )
)</f>
        <v>UNKNOWN</v>
      </c>
      <c r="T17" t="str" cm="1">
        <f t="array" ref="T17">_xlfn.LET(
 _xlpm.project,TRIM($C17),
 _xlpm.attribute,TRIM(IF(T$3&lt;&gt;"",T$3,T$2)),
 _xlfn.XLOOKUP(
   1,
   (TRIM(Sources!$B$2:$B$461)=_xlpm.project)*(TRIM(Sources!$D$2:$D$461)=_xlpm.attribute),
   Sources!$E$2:$E$461,
   "UNKNOWN"
 )
)</f>
        <v>Whitelist-restricted</v>
      </c>
      <c r="U17" t="str" cm="1">
        <f t="array" ref="U17">_xlfn.LET(
 _xlpm.project,TRIM($C17),
 _xlpm.attribute,TRIM(IF(U$3&lt;&gt;"",U$3,U$2)),
 _xlfn.XLOOKUP(
   1,
   (TRIM(Sources!$B$2:$B$461)=_xlpm.project)*(TRIM(Sources!$D$2:$D$461)=_xlpm.attribute),
   Sources!$E$2:$E$461,
   "UNKNOWN"
 )
)</f>
        <v>None (price appreciation only)</v>
      </c>
      <c r="V17" t="str" cm="1">
        <f t="array" ref="V17">_xlfn.LET(
 _xlpm.project,TRIM($C17),
 _xlpm.attribute,TRIM(IF(V$3&lt;&gt;"",V$3,V$2)),
 _xlfn.XLOOKUP(
   1,
   (TRIM(Sources!$B$2:$B$461)=_xlpm.project)*(TRIM(Sources!$D$2:$D$461)=_xlpm.attribute),
   Sources!$E$2:$E$461,
   "UNKNOWN"
 )
)</f>
        <v>UNKNOWN</v>
      </c>
      <c r="W17" t="str" cm="1">
        <f t="array" ref="W17">_xlfn.LET(
 _xlpm.project,TRIM($C17),
 _xlpm.attribute,TRIM(IF(W$3&lt;&gt;"",W$3,W$2)),
 _xlfn.XLOOKUP(
   1,
   (TRIM(Sources!$B$2:$B$461)=_xlpm.project)*(TRIM(Sources!$D$2:$D$461)=_xlpm.attribute),
   Sources!$E$2:$E$461,
   "UNKNOWN"
 )
)</f>
        <v>Capped (27,500,000 Class B common stock authorized)</v>
      </c>
      <c r="X17" t="str" cm="1">
        <f t="array" ref="X17">_xlfn.LET(
 _xlpm.project,TRIM($C17),
 _xlpm.attribute,TRIM(IF(X$3&lt;&gt;"",X$3,X$2)),
 _xlfn.XLOOKUP(
   1,
   (TRIM(Sources!$B$2:$B$461)=_xlpm.project)*(TRIM(Sources!$D$2:$D$461)=_xlpm.attribute),
   Sources!$E$2:$E$461,
   "UNKNOWN"
 )
)</f>
        <v>Token issuance/maintenance; transfer permissioning; peer-to-peer transfer</v>
      </c>
      <c r="Y17" t="str" cm="1">
        <f t="array" ref="Y17">_xlfn.LET(
 _xlpm.project,TRIM($C17),
 _xlpm.attribute,TRIM(IF(Y$3&lt;&gt;"",Y$3,Y$2)),
 _xlfn.XLOOKUP(
   1,
   (TRIM(Sources!$B$2:$B$461)=_xlpm.project)*(TRIM(Sources!$D$2:$D$461)=_xlpm.attribute),
   Sources!$E$2:$E$461,
   "UNKNOWN"
 )
)</f>
        <v>Arbitrum</v>
      </c>
      <c r="Z17" t="str" cm="1">
        <f t="array" ref="Z17">_xlfn.LET(
 _xlpm.project,TRIM($C17),
 _xlpm.attribute,TRIM(IF(Z$3&lt;&gt;"",Z$3,Z$2)),
 _xlfn.XLOOKUP(
   1,
   (TRIM(Sources!$B$2:$B$461)=_xlpm.project)*(TRIM(Sources!$D$2:$D$461)=_xlpm.attribute),
   Sources!$E$2:$E$461,
   "UNKNOWN"
 )
)</f>
        <v>UNKNOWN</v>
      </c>
      <c r="AA17" t="str" cm="1">
        <f t="array" ref="AA17">_xlfn.LET(
 _xlpm.project,TRIM($C17),
 _xlpm.attribute,TRIM(IF(AA$3&lt;&gt;"",AA$3,AA$2)),
 _xlfn.XLOOKUP(
   1,
   (TRIM(Sources!$B$2:$B$461)=_xlpm.project)*(TRIM(Sources!$D$2:$D$461)=_xlpm.attribute),
   Sources!$E$2:$E$461,
   "UNKNOWN"
 )
)</f>
        <v>No protocol fees disclosed / 0% subscription, redemption, management, performance fees</v>
      </c>
      <c r="AB17" t="str" cm="1">
        <f t="array" ref="AB17">_xlfn.LET(
 _xlpm.project,TRIM($C17),
 _xlpm.attribute,TRIM(IF(AB$3&lt;&gt;"",AB$3,AB$2)),
 _xlfn.XLOOKUP(
   1,
   (TRIM(Sources!$B$2:$B$461)=_xlpm.project)*(TRIM(Sources!$D$2:$D$461)=_xlpm.attribute),
   Sources!$E$2:$E$461,
   "UNKNOWN"
 )
)</f>
        <v>KYC gated; Whitelisted only</v>
      </c>
    </row>
    <row r="18" spans="1:28">
      <c r="A18" s="115"/>
      <c r="B18">
        <v>15</v>
      </c>
      <c r="C18" t="s">
        <v>723</v>
      </c>
      <c r="D18" s="25">
        <v>46145</v>
      </c>
      <c r="E18">
        <v>15</v>
      </c>
      <c r="F18" t="str" cm="1">
        <f t="array" ref="F18">_xlfn.LET(
 _xlpm.project,TRIM($C18),
 _xlpm.attribute,TRIM(IF(F$3&lt;&gt;"",F$3,F$2)),
 _xlfn.XLOOKUP(
   1,
   (TRIM(Sources!$B$2:$B$461)=_xlpm.project)*(TRIM(Sources!$D$2:$D$461)=_xlpm.attribute),
   Sources!$E$2:$E$461,
   "UNKNOWN"
 )
)</f>
        <v>Panama</v>
      </c>
      <c r="G18" t="str" cm="1">
        <f t="array" ref="G18">_xlfn.LET(
 _xlpm.project,TRIM($C18),
 _xlpm.attribute,TRIM(IF(G$3&lt;&gt;"",G$3,G$2)),
 _xlfn.XLOOKUP(
   1,
   (TRIM(Sources!$B$2:$B$461)=_xlpm.project)*(TRIM(Sources!$D$2:$D$461)=_xlpm.attribute),
   Sources!$E$2:$E$461,
   "UNKNOWN"
 )
)</f>
        <v>Direct Issuer: Corporation</v>
      </c>
      <c r="H18" t="str" cm="1">
        <f t="array" ref="H18">_xlfn.LET(
 _xlpm.project,TRIM($C18),
 _xlpm.attribute,TRIM(IF(H$3&lt;&gt;"",H$3,H$2)),
 _xlfn.XLOOKUP(
   1,
   (TRIM(Sources!$B$2:$B$461)=_xlpm.project)*(TRIM(Sources!$D$2:$D$461)=_xlpm.attribute),
   Sources!$E$2:$E$461,
   "UNKNOWN"
 )
)</f>
        <v>UNKNOWN</v>
      </c>
      <c r="I18" t="str" cm="1">
        <f t="array" ref="I18">_xlfn.LET(
 _xlpm.project,TRIM($C18),
 _xlpm.attribute,TRIM(IF(I$3&lt;&gt;"",I$3,I$2)),
 _xlfn.XLOOKUP(
   1,
   (TRIM(Sources!$B$2:$B$461)=_xlpm.project)*(TRIM(Sources!$D$2:$D$461)=_xlpm.attribute),
   Sources!$E$2:$E$461,
   "UNKNOWN"
 )
)</f>
        <v>Institutional custodian (regulated)</v>
      </c>
      <c r="J18" t="str" cm="1">
        <f t="array" ref="J18">_xlfn.LET(
 _xlpm.project,TRIM($C18),
 _xlpm.attribute,TRIM(IF(J$3&lt;&gt;"",J$3,J$2)),
 _xlfn.XLOOKUP(
   1,
   (TRIM(Sources!$B$2:$B$461)=_xlpm.project)*(TRIM(Sources!$D$2:$D$461)=_xlpm.attribute),
   Sources!$E$2:$E$461,
   "UNKNOWN"
 )
)</f>
        <v>N/A</v>
      </c>
      <c r="K18" t="str" cm="1">
        <f t="array" ref="K18">_xlfn.LET(
 _xlpm.project,TRIM($C18),
 _xlpm.attribute,TRIM(IF(K$3&lt;&gt;"",K$3,K$2)),
 _xlfn.XLOOKUP(
   1,
   (TRIM(Sources!$B$2:$B$461)=_xlpm.project)*(TRIM(Sources!$D$2:$D$461)=_xlpm.attribute),
   Sources!$E$2:$E$461,
   "UNKNOWN"
 )
)</f>
        <v>Panama (CECAP arbitration)</v>
      </c>
      <c r="L18" t="str" cm="1">
        <f t="array" ref="L18">_xlfn.LET(
 _xlpm.project,TRIM($C18),
 _xlpm.attribute,TRIM(IF(L$3&lt;&gt;"",L$3,L$2)),
 _xlfn.XLOOKUP(
   1,
   (TRIM(Sources!$B$2:$B$461)=_xlpm.project)*(TRIM(Sources!$D$2:$D$461)=_xlpm.attribute),
   Sources!$E$2:$E$461,
   "UNKNOWN"
 )
)</f>
        <v>synthetic exposure (case for derivatives: no direct claim)</v>
      </c>
      <c r="M18" t="str" cm="1">
        <f t="array" ref="M18">_xlfn.LET(
 _xlpm.project,TRIM($C18),
 _xlpm.attribute,TRIM(IF(M$3&lt;&gt;"",M$3,M$2)),
 _xlfn.XLOOKUP(
   1,
   (TRIM(Sources!$B$2:$B$461)=_xlpm.project)*(TRIM(Sources!$D$2:$D$461)=_xlpm.attribute),
   Sources!$E$2:$E$461,
   "UNKNOWN"
 )
)</f>
        <v>Redemption right; Interest entitlement</v>
      </c>
      <c r="N18" t="str" cm="1">
        <f t="array" ref="N18">_xlfn.LET(
 _xlpm.project,TRIM($C18),
 _xlpm.attribute,TRIM(IF(N$3&lt;&gt;"",N$3,N$2)),
 _xlfn.XLOOKUP(
   1,
   (TRIM(Sources!$B$2:$B$461)=_xlpm.project)*(TRIM(Sources!$D$2:$D$461)=_xlpm.attribute),
   Sources!$E$2:$E$461,
   "UNKNOWN"
 )
)</f>
        <v>Fixed income (government/corporate bonds)</v>
      </c>
      <c r="O18" t="str" cm="1">
        <f t="array" ref="O18">_xlfn.LET(
 _xlpm.project,TRIM($C18),
 _xlpm.attribute,TRIM(IF(O$3&lt;&gt;"",O$3,O$2)),
 _xlfn.XLOOKUP(
   1,
   (TRIM(Sources!$B$2:$B$461)=_xlpm.project)*(TRIM(Sources!$D$2:$D$461)=_xlpm.attribute),
   Sources!$E$2:$E$461,
   "UNKNOWN"
 )
)</f>
        <v>UNKNOWN</v>
      </c>
      <c r="P18" t="str" cm="1">
        <f t="array" ref="P18">_xlfn.LET(
 _xlpm.project,TRIM($C18),
 _xlpm.attribute,TRIM(IF(P$3&lt;&gt;"",P$3,P$2)),
 _xlfn.XLOOKUP(
   1,
   (TRIM(Sources!$B$2:$B$461)=_xlpm.project)*(TRIM(Sources!$D$2:$D$461)=_xlpm.attribute),
   Sources!$E$2:$E$461,
   "UNKNOWN"
 )
)</f>
        <v>Smart contract oracle feed</v>
      </c>
      <c r="Q18" t="str" cm="1">
        <f t="array" ref="Q18">_xlfn.LET(
 _xlpm.project,TRIM($C18),
 _xlpm.attribute,TRIM(IF(Q$3&lt;&gt;"",Q$3,Q$2)),
 _xlfn.XLOOKUP(
   1,
   (TRIM(Sources!$B$2:$B$461)=_xlpm.project)*(TRIM(Sources!$D$2:$D$461)=_xlpm.attribute),
   Sources!$E$2:$E$461,
   "UNKNOWN"
 )
)</f>
        <v>Fractionalized</v>
      </c>
      <c r="R18" t="str" cm="1">
        <f t="array" ref="R18">_xlfn.LET(
 _xlpm.project,TRIM($C18),
 _xlpm.attribute,TRIM(IF(R$3&lt;&gt;"",R$3,R$2)),
 _xlfn.XLOOKUP(
   1,
   (TRIM(Sources!$B$2:$B$461)=_xlpm.project)*(TRIM(Sources!$D$2:$D$461)=_xlpm.attribute),
   Sources!$E$2:$E$461,
   "UNKNOWN"
 )
)</f>
        <v>In-kind (other token)</v>
      </c>
      <c r="S18" t="str" cm="1">
        <f t="array" ref="S18">_xlfn.LET(
 _xlpm.project,TRIM($C18),
 _xlpm.attribute,TRIM(IF(S$3&lt;&gt;"",S$3,S$2)),
 _xlfn.XLOOKUP(
   1,
   (TRIM(Sources!$B$2:$B$461)=_xlpm.project)*(TRIM(Sources!$D$2:$D$461)=_xlpm.attribute),
   Sources!$E$2:$E$461,
   "UNKNOWN"
 )
)</f>
        <v>UNKNOWN</v>
      </c>
      <c r="T18" t="str" cm="1">
        <f t="array" ref="T18">_xlfn.LET(
 _xlpm.project,TRIM($C18),
 _xlpm.attribute,TRIM(IF(T$3&lt;&gt;"",T$3,T$2)),
 _xlfn.XLOOKUP(
   1,
   (TRIM(Sources!$B$2:$B$461)=_xlpm.project)*(TRIM(Sources!$D$2:$D$461)=_xlpm.attribute),
   Sources!$E$2:$E$461,
   "UNKNOWN"
 )
)</f>
        <v>Unrestricted</v>
      </c>
      <c r="U18" t="str" cm="1">
        <f t="array" ref="U18">_xlfn.LET(
 _xlpm.project,TRIM($C18),
 _xlpm.attribute,TRIM(IF(U$3&lt;&gt;"",U$3,U$2)),
 _xlfn.XLOOKUP(
   1,
   (TRIM(Sources!$B$2:$B$461)=_xlpm.project)*(TRIM(Sources!$D$2:$D$461)=_xlpm.attribute),
   Sources!$E$2:$E$461,
   "UNKNOWN"
 )
)</f>
        <v>Interest income</v>
      </c>
      <c r="V18" t="str" cm="1">
        <f t="array" ref="V18">_xlfn.LET(
 _xlpm.project,TRIM($C18),
 _xlpm.attribute,TRIM(IF(V$3&lt;&gt;"",V$3,V$2)),
 _xlfn.XLOOKUP(
   1,
   (TRIM(Sources!$B$2:$B$461)=_xlpm.project)*(TRIM(Sources!$D$2:$D$461)=_xlpm.attribute),
   Sources!$E$2:$E$461,
   "UNKNOWN"
 )
)</f>
        <v>Accrual</v>
      </c>
      <c r="W18" t="str" cm="1">
        <f t="array" ref="W18">_xlfn.LET(
 _xlpm.project,TRIM($C18),
 _xlpm.attribute,TRIM(IF(W$3&lt;&gt;"",W$3,W$2)),
 _xlfn.XLOOKUP(
   1,
   (TRIM(Sources!$B$2:$B$461)=_xlpm.project)*(TRIM(Sources!$D$2:$D$461)=_xlpm.attribute),
   Sources!$E$2:$E$461,
   "UNKNOWN"
 )
)</f>
        <v>UNKNOWN</v>
      </c>
      <c r="X18" t="str" cm="1">
        <f t="array" ref="X18">_xlfn.LET(
 _xlpm.project,TRIM($C18),
 _xlpm.attribute,TRIM(IF(X$3&lt;&gt;"",X$3,X$2)),
 _xlfn.XLOOKUP(
   1,
   (TRIM(Sources!$B$2:$B$461)=_xlpm.project)*(TRIM(Sources!$D$2:$D$461)=_xlpm.attribute),
   Sources!$E$2:$E$461,
   "UNKNOWN"
 )
)</f>
        <v>Minting/redemption; basket composition enforcement; oracle pricing; cross-chain bridging</v>
      </c>
      <c r="Y18" t="str" cm="1">
        <f t="array" ref="Y18">_xlfn.LET(
 _xlpm.project,TRIM($C18),
 _xlpm.attribute,TRIM(IF(Y$3&lt;&gt;"",Y$3,Y$2)),
 _xlfn.XLOOKUP(
   1,
   (TRIM(Sources!$B$2:$B$461)=_xlpm.project)*(TRIM(Sources!$D$2:$D$461)=_xlpm.attribute),
   Sources!$E$2:$E$461,
   "UNKNOWN"
 )
)</f>
        <v>Ethereum; Arbitrum; Base; HyperEVM</v>
      </c>
      <c r="Z18" t="str" cm="1">
        <f t="array" ref="Z18">_xlfn.LET(
 _xlpm.project,TRIM($C18),
 _xlpm.attribute,TRIM(IF(Z$3&lt;&gt;"",Z$3,Z$2)),
 _xlfn.XLOOKUP(
   1,
   (TRIM(Sources!$B$2:$B$461)=_xlpm.project)*(TRIM(Sources!$D$2:$D$461)=_xlpm.attribute),
   Sources!$E$2:$E$461,
   "UNKNOWN"
 )
)</f>
        <v>Collateral in lending (protocols not specified); Other (DEX trading, derivative markets)</v>
      </c>
      <c r="AA18" t="str" cm="1">
        <f t="array" ref="AA18">_xlfn.LET(
 _xlpm.project,TRIM($C18),
 _xlpm.attribute,TRIM(IF(AA$3&lt;&gt;"",AA$3,AA$2)),
 _xlfn.XLOOKUP(
   1,
   (TRIM(Sources!$B$2:$B$461)=_xlpm.project)*(TRIM(Sources!$D$2:$D$461)=_xlpm.attribute),
   Sources!$E$2:$E$461,
   "UNKNOWN"
 )
)</f>
        <v>UNKNOWN</v>
      </c>
      <c r="AB18" t="str" cm="1">
        <f t="array" ref="AB18">_xlfn.LET(
 _xlpm.project,TRIM($C18),
 _xlpm.attribute,TRIM(IF(AB$3&lt;&gt;"",AB$3,AB$2)),
 _xlfn.XLOOKUP(
   1,
   (TRIM(Sources!$B$2:$B$461)=_xlpm.project)*(TRIM(Sources!$D$2:$D$461)=_xlpm.attribute),
   Sources!$E$2:$E$461,
   "UNKNOWN"
 )
)</f>
        <v>Institutional only; KYC gated</v>
      </c>
    </row>
    <row r="19" spans="1:28">
      <c r="A19" s="115"/>
      <c r="B19">
        <v>16</v>
      </c>
      <c r="C19" t="s">
        <v>779</v>
      </c>
      <c r="D19" s="25">
        <v>46145</v>
      </c>
      <c r="E19">
        <v>16</v>
      </c>
      <c r="F19" t="str" cm="1">
        <f t="array" ref="F19">_xlfn.LET(
 _xlpm.project,TRIM($C19),
 _xlpm.attribute,TRIM(IF(F$3&lt;&gt;"",F$3,F$2)),
 _xlfn.XLOOKUP(
   1,
   (TRIM(Sources!$B$2:$B$461)=_xlpm.project)*(TRIM(Sources!$D$2:$D$461)=_xlpm.attribute),
   Sources!$E$2:$E$461,
   "UNKNOWN"
 )
)</f>
        <v>USA</v>
      </c>
      <c r="G19" t="str" cm="1">
        <f t="array" ref="G19">_xlfn.LET(
 _xlpm.project,TRIM($C19),
 _xlpm.attribute,TRIM(IF(G$3&lt;&gt;"",G$3,G$2)),
 _xlfn.XLOOKUP(
   1,
   (TRIM(Sources!$B$2:$B$461)=_xlpm.project)*(TRIM(Sources!$D$2:$D$461)=_xlpm.attribute),
   Sources!$E$2:$E$461,
   "UNKNOWN"
 )
)</f>
        <v>Bankruptcy remote vehicle: Trust</v>
      </c>
      <c r="H19" t="str" cm="1">
        <f t="array" ref="H19">_xlfn.LET(
 _xlpm.project,TRIM($C19),
 _xlpm.attribute,TRIM(IF(H$3&lt;&gt;"",H$3,H$2)),
 _xlfn.XLOOKUP(
   1,
   (TRIM(Sources!$B$2:$B$461)=_xlpm.project)*(TRIM(Sources!$D$2:$D$461)=_xlpm.attribute),
   Sources!$E$2:$E$461,
   "UNKNOWN"
 )
)</f>
        <v>N/A</v>
      </c>
      <c r="I19" t="str" cm="1">
        <f t="array" ref="I19">_xlfn.LET(
 _xlpm.project,TRIM($C19),
 _xlpm.attribute,TRIM(IF(I$3&lt;&gt;"",I$3,I$2)),
 _xlfn.XLOOKUP(
   1,
   (TRIM(Sources!$B$2:$B$461)=_xlpm.project)*(TRIM(Sources!$D$2:$D$461)=_xlpm.attribute),
   Sources!$E$2:$E$461,
   "UNKNOWN"
 )
)</f>
        <v>Institutional custodian (regulated)</v>
      </c>
      <c r="J19" t="str" cm="1">
        <f t="array" ref="J19">_xlfn.LET(
 _xlpm.project,TRIM($C19),
 _xlpm.attribute,TRIM(IF(J$3&lt;&gt;"",J$3,J$2)),
 _xlfn.XLOOKUP(
   1,
   (TRIM(Sources!$B$2:$B$461)=_xlpm.project)*(TRIM(Sources!$D$2:$D$461)=_xlpm.attribute),
   Sources!$E$2:$E$461,
   "UNKNOWN"
 )
)</f>
        <v>SPV held</v>
      </c>
      <c r="K19" t="str" cm="1">
        <f t="array" ref="K19">_xlfn.LET(
 _xlpm.project,TRIM($C19),
 _xlpm.attribute,TRIM(IF(K$3&lt;&gt;"",K$3,K$2)),
 _xlfn.XLOOKUP(
   1,
   (TRIM(Sources!$B$2:$B$461)=_xlpm.project)*(TRIM(Sources!$D$2:$D$461)=_xlpm.attribute),
   Sources!$E$2:$E$461,
   "UNKNOWN"
 )
)</f>
        <v>UNKNOWN</v>
      </c>
      <c r="L19" t="str" cm="1">
        <f t="array" ref="L19">_xlfn.LET(
 _xlpm.project,TRIM($C19),
 _xlpm.attribute,TRIM(IF(L$3&lt;&gt;"",L$3,L$2)),
 _xlfn.XLOOKUP(
   1,
   (TRIM(Sources!$B$2:$B$461)=_xlpm.project)*(TRIM(Sources!$D$2:$D$461)=_xlpm.attribute),
   Sources!$E$2:$E$461,
   "UNKNOWN"
 )
)</f>
        <v>Pro-rata claim on asset (share of pooled underlying)</v>
      </c>
      <c r="M19" t="str" cm="1">
        <f t="array" ref="M19">_xlfn.LET(
 _xlpm.project,TRIM($C19),
 _xlpm.attribute,TRIM(IF(M$3&lt;&gt;"",M$3,M$2)),
 _xlfn.XLOOKUP(
   1,
   (TRIM(Sources!$B$2:$B$461)=_xlpm.project)*(TRIM(Sources!$D$2:$D$461)=_xlpm.attribute),
   Sources!$E$2:$E$461,
   "UNKNOWN"
 )
)</f>
        <v>Redemption right; Income distribution right; Governance/voting</v>
      </c>
      <c r="N19" t="str" cm="1">
        <f t="array" ref="N19">_xlfn.LET(
 _xlpm.project,TRIM($C19),
 _xlpm.attribute,TRIM(IF(N$3&lt;&gt;"",N$3,N$2)),
 _xlfn.XLOOKUP(
   1,
   (TRIM(Sources!$B$2:$B$461)=_xlpm.project)*(TRIM(Sources!$D$2:$D$461)=_xlpm.attribute),
   Sources!$E$2:$E$461,
   "UNKNOWN"
 )
)</f>
        <v>Fixed income (government/corporate bonds)</v>
      </c>
      <c r="O19" t="str" cm="1">
        <f t="array" ref="O19">_xlfn.LET(
 _xlpm.project,TRIM($C19),
 _xlpm.attribute,TRIM(IF(O$3&lt;&gt;"",O$3,O$2)),
 _xlfn.XLOOKUP(
   1,
   (TRIM(Sources!$B$2:$B$461)=_xlpm.project)*(TRIM(Sources!$D$2:$D$461)=_xlpm.attribute),
   Sources!$E$2:$E$461,
   "UNKNOWN"
 )
)</f>
        <v>Yes; annual; https://www.sec.gov/Archives/edgar/data/917286/000113322825007435/0001133228-25-007435.txt</v>
      </c>
      <c r="P19" t="str" cm="1">
        <f t="array" ref="P19">_xlfn.LET(
 _xlpm.project,TRIM($C19),
 _xlpm.attribute,TRIM(IF(P$3&lt;&gt;"",P$3,P$2)),
 _xlfn.XLOOKUP(
   1,
   (TRIM(Sources!$B$2:$B$461)=_xlpm.project)*(TRIM(Sources!$D$2:$D$461)=_xlpm.attribute),
   Sources!$E$2:$E$461,
   "UNKNOWN"
 )
)</f>
        <v>UNKNOWN</v>
      </c>
      <c r="Q19" t="str" cm="1">
        <f t="array" ref="Q19">_xlfn.LET(
 _xlpm.project,TRIM($C19),
 _xlpm.attribute,TRIM(IF(Q$3&lt;&gt;"",Q$3,Q$2)),
 _xlfn.XLOOKUP(
   1,
   (TRIM(Sources!$B$2:$B$461)=_xlpm.project)*(TRIM(Sources!$D$2:$D$461)=_xlpm.attribute),
   Sources!$E$2:$E$461,
   "UNKNOWN"
 )
)</f>
        <v>Fractionalized</v>
      </c>
      <c r="R19" t="str" cm="1">
        <f t="array" ref="R19">_xlfn.LET(
 _xlpm.project,TRIM($C19),
 _xlpm.attribute,TRIM(IF(R$3&lt;&gt;"",R$3,R$2)),
 _xlfn.XLOOKUP(
   1,
   (TRIM(Sources!$B$2:$B$461)=_xlpm.project)*(TRIM(Sources!$D$2:$D$461)=_xlpm.attribute),
   Sources!$E$2:$E$461,
   "UNKNOWN"
 )
)</f>
        <v>Cash</v>
      </c>
      <c r="S19" t="str" cm="1">
        <f t="array" ref="S19">_xlfn.LET(
 _xlpm.project,TRIM($C19),
 _xlpm.attribute,TRIM(IF(S$3&lt;&gt;"",S$3,S$2)),
 _xlfn.XLOOKUP(
   1,
   (TRIM(Sources!$B$2:$B$461)=_xlpm.project)*(TRIM(Sources!$D$2:$D$461)=_xlpm.attribute),
   Sources!$E$2:$E$461,
   "UNKNOWN"
 )
)</f>
        <v>UNKNOWN</v>
      </c>
      <c r="T19" t="str" cm="1">
        <f t="array" ref="T19">_xlfn.LET(
 _xlpm.project,TRIM($C19),
 _xlpm.attribute,TRIM(IF(T$3&lt;&gt;"",T$3,T$2)),
 _xlfn.XLOOKUP(
   1,
   (TRIM(Sources!$B$2:$B$461)=_xlpm.project)*(TRIM(Sources!$D$2:$D$461)=_xlpm.attribute),
   Sources!$E$2:$E$461,
   "UNKNOWN"
 )
)</f>
        <v>Whitelist-restricted</v>
      </c>
      <c r="U19" t="str" cm="1">
        <f t="array" ref="U19">_xlfn.LET(
 _xlpm.project,TRIM($C19),
 _xlpm.attribute,TRIM(IF(U$3&lt;&gt;"",U$3,U$2)),
 _xlfn.XLOOKUP(
   1,
   (TRIM(Sources!$B$2:$B$461)=_xlpm.project)*(TRIM(Sources!$D$2:$D$461)=_xlpm.attribute),
   Sources!$E$2:$E$461,
   "UNKNOWN"
 )
)</f>
        <v>Interest income</v>
      </c>
      <c r="V19" t="str" cm="1">
        <f t="array" ref="V19">_xlfn.LET(
 _xlpm.project,TRIM($C19),
 _xlpm.attribute,TRIM(IF(V$3&lt;&gt;"",V$3,V$2)),
 _xlfn.XLOOKUP(
   1,
   (TRIM(Sources!$B$2:$B$461)=_xlpm.project)*(TRIM(Sources!$D$2:$D$461)=_xlpm.attribute),
   Sources!$E$2:$E$461,
   "UNKNOWN"
 )
)</f>
        <v>Distribution</v>
      </c>
      <c r="W19" t="str" cm="1">
        <f t="array" ref="W19">_xlfn.LET(
 _xlpm.project,TRIM($C19),
 _xlpm.attribute,TRIM(IF(W$3&lt;&gt;"",W$3,W$2)),
 _xlfn.XLOOKUP(
   1,
   (TRIM(Sources!$B$2:$B$461)=_xlpm.project)*(TRIM(Sources!$D$2:$D$461)=_xlpm.attribute),
   Sources!$E$2:$E$461,
   "UNKNOWN"
 )
)</f>
        <v>UNKNOWN</v>
      </c>
      <c r="X19" t="str" cm="1">
        <f t="array" ref="X19">_xlfn.LET(
 _xlpm.project,TRIM($C19),
 _xlpm.attribute,TRIM(IF(X$3&lt;&gt;"",X$3,X$2)),
 _xlfn.XLOOKUP(
   1,
   (TRIM(Sources!$B$2:$B$461)=_xlpm.project)*(TRIM(Sources!$D$2:$D$461)=_xlpm.attribute),
   Sources!$E$2:$E$461,
   "UNKNOWN"
 )
)</f>
        <v>Share ownership recordkeeping; issuance/redemption recording; transfer permissioning</v>
      </c>
      <c r="Y19" t="str" cm="1">
        <f t="array" ref="Y19">_xlfn.LET(
 _xlpm.project,TRIM($C19),
 _xlpm.attribute,TRIM(IF(Y$3&lt;&gt;"",Y$3,Y$2)),
 _xlfn.XLOOKUP(
   1,
   (TRIM(Sources!$B$2:$B$461)=_xlpm.project)*(TRIM(Sources!$D$2:$D$461)=_xlpm.attribute),
   Sources!$E$2:$E$461,
   "UNKNOWN"
 )
)</f>
        <v>Ethereum</v>
      </c>
      <c r="Z19" t="str" cm="1">
        <f t="array" ref="Z19">_xlfn.LET(
 _xlpm.project,TRIM($C19),
 _xlpm.attribute,TRIM(IF(Z$3&lt;&gt;"",Z$3,Z$2)),
 _xlfn.XLOOKUP(
   1,
   (TRIM(Sources!$B$2:$B$461)=_xlpm.project)*(TRIM(Sources!$D$2:$D$461)=_xlpm.attribute),
   Sources!$E$2:$E$461,
   "UNKNOWN"
 )
)</f>
        <v>None</v>
      </c>
      <c r="AA19" t="str" cm="1">
        <f t="array" ref="AA19">_xlfn.LET(
 _xlpm.project,TRIM($C19),
 _xlpm.attribute,TRIM(IF(AA$3&lt;&gt;"",AA$3,AA$2)),
 _xlfn.XLOOKUP(
   1,
   (TRIM(Sources!$B$2:$B$461)=_xlpm.project)*(TRIM(Sources!$D$2:$D$461)=_xlpm.attribute),
   Sources!$E$2:$E$461,
   "UNKNOWN"
 )
)</f>
        <v>Management fee</v>
      </c>
      <c r="AB19" t="str" cm="1">
        <f t="array" ref="AB19">_xlfn.LET(
 _xlpm.project,TRIM($C19),
 _xlpm.attribute,TRIM(IF(AB$3&lt;&gt;"",AB$3,AB$2)),
 _xlfn.XLOOKUP(
   1,
   (TRIM(Sources!$B$2:$B$461)=_xlpm.project)*(TRIM(Sources!$D$2:$D$461)=_xlpm.attribute),
   Sources!$E$2:$E$461,
   "UNKNOWN"
 )
)</f>
        <v>Institutional only; KYC gated</v>
      </c>
    </row>
    <row r="20" spans="1:28">
      <c r="A20" s="115"/>
      <c r="B20">
        <v>17</v>
      </c>
      <c r="C20" t="s">
        <v>830</v>
      </c>
      <c r="D20" s="25">
        <v>46145</v>
      </c>
      <c r="E20">
        <v>17</v>
      </c>
      <c r="F20" t="str" cm="1">
        <f t="array" ref="F20">_xlfn.LET(
 _xlpm.project,TRIM($C20),
 _xlpm.attribute,TRIM(IF(F$3&lt;&gt;"",F$3,F$2)),
 _xlfn.XLOOKUP(
   1,
   (TRIM(Sources!$B$2:$B$461)=_xlpm.project)*(TRIM(Sources!$D$2:$D$461)=_xlpm.attribute),
   Sources!$E$2:$E$461,
   "UNKNOWN"
 )
)</f>
        <v>France</v>
      </c>
      <c r="G20" t="str" cm="1">
        <f t="array" ref="G20">_xlfn.LET(
 _xlpm.project,TRIM($C20),
 _xlpm.attribute,TRIM(IF(G$3&lt;&gt;"",G$3,G$2)),
 _xlfn.XLOOKUP(
   1,
   (TRIM(Sources!$B$2:$B$461)=_xlpm.project)*(TRIM(Sources!$D$2:$D$461)=_xlpm.attribute),
   Sources!$E$2:$E$461,
   "UNKNOWN"
 )
)</f>
        <v>Bankruptcy remote vehicle: SPV</v>
      </c>
      <c r="H20" t="str" cm="1">
        <f t="array" ref="H20">_xlfn.LET(
 _xlpm.project,TRIM($C20),
 _xlpm.attribute,TRIM(IF(H$3&lt;&gt;"",H$3,H$2)),
 _xlfn.XLOOKUP(
   1,
   (TRIM(Sources!$B$2:$B$461)=_xlpm.project)*(TRIM(Sources!$D$2:$D$461)=_xlpm.attribute),
   Sources!$E$2:$E$461,
   "UNKNOWN"
 )
)</f>
        <v>UNKNOWN</v>
      </c>
      <c r="I20" t="str" cm="1">
        <f t="array" ref="I20">_xlfn.LET(
 _xlpm.project,TRIM($C20),
 _xlpm.attribute,TRIM(IF(I$3&lt;&gt;"",I$3,I$2)),
 _xlfn.XLOOKUP(
   1,
   (TRIM(Sources!$B$2:$B$461)=_xlpm.project)*(TRIM(Sources!$D$2:$D$461)=_xlpm.attribute),
   Sources!$E$2:$E$461,
   "UNKNOWN"
 )
)</f>
        <v>Institutional custodian (regulated)</v>
      </c>
      <c r="J20" t="str" cm="1">
        <f t="array" ref="J20">_xlfn.LET(
 _xlpm.project,TRIM($C20),
 _xlpm.attribute,TRIM(IF(J$3&lt;&gt;"",J$3,J$2)),
 _xlfn.XLOOKUP(
   1,
   (TRIM(Sources!$B$2:$B$461)=_xlpm.project)*(TRIM(Sources!$D$2:$D$461)=_xlpm.attribute),
   Sources!$E$2:$E$461,
   "UNKNOWN"
 )
)</f>
        <v>SPV held</v>
      </c>
      <c r="K20" t="str" cm="1">
        <f t="array" ref="K20">_xlfn.LET(
 _xlpm.project,TRIM($C20),
 _xlpm.attribute,TRIM(IF(K$3&lt;&gt;"",K$3,K$2)),
 _xlfn.XLOOKUP(
   1,
   (TRIM(Sources!$B$2:$B$461)=_xlpm.project)*(TRIM(Sources!$D$2:$D$461)=_xlpm.attribute),
   Sources!$E$2:$E$461,
   "UNKNOWN"
 )
)</f>
        <v>France (competent courts)</v>
      </c>
      <c r="L20" t="str" cm="1">
        <f t="array" ref="L20">_xlfn.LET(
 _xlpm.project,TRIM($C20),
 _xlpm.attribute,TRIM(IF(L$3&lt;&gt;"",L$3,L$2)),
 _xlfn.XLOOKUP(
   1,
   (TRIM(Sources!$B$2:$B$461)=_xlpm.project)*(TRIM(Sources!$D$2:$D$461)=_xlpm.attribute),
   Sources!$E$2:$E$461,
   "UNKNOWN"
 )
)</f>
        <v>Pro-rata claim on asset (share of pooled underlying)</v>
      </c>
      <c r="M20" t="str" cm="1">
        <f t="array" ref="M20">_xlfn.LET(
 _xlpm.project,TRIM($C20),
 _xlpm.attribute,TRIM(IF(M$3&lt;&gt;"",M$3,M$2)),
 _xlfn.XLOOKUP(
   1,
   (TRIM(Sources!$B$2:$B$461)=_xlpm.project)*(TRIM(Sources!$D$2:$D$461)=_xlpm.attribute),
   Sources!$E$2:$E$461,
   "UNKNOWN"
 )
)</f>
        <v>Redemption right; Interest entitlement; Governance/voting</v>
      </c>
      <c r="N20" t="str" cm="1">
        <f t="array" ref="N20">_xlfn.LET(
 _xlpm.project,TRIM($C20),
 _xlpm.attribute,TRIM(IF(N$3&lt;&gt;"",N$3,N$2)),
 _xlfn.XLOOKUP(
   1,
   (TRIM(Sources!$B$2:$B$461)=_xlpm.project)*(TRIM(Sources!$D$2:$D$461)=_xlpm.attribute),
   Sources!$E$2:$E$461,
   "UNKNOWN"
 )
)</f>
        <v>Fixed income (government/corporate bonds)</v>
      </c>
      <c r="O20" t="str" cm="1">
        <f t="array" ref="O20">_xlfn.LET(
 _xlpm.project,TRIM($C20),
 _xlpm.attribute,TRIM(IF(O$3&lt;&gt;"",O$3,O$2)),
 _xlfn.XLOOKUP(
   1,
   (TRIM(Sources!$B$2:$B$461)=_xlpm.project)*(TRIM(Sources!$D$2:$D$461)=_xlpm.attribute),
   Sources!$E$2:$E$461,
   "UNKNOWN"
 )
)</f>
        <v>Yes; four audits annually; https://www.spiko.io/spiko-treasury-bills-euro</v>
      </c>
      <c r="P20" t="str" cm="1">
        <f t="array" ref="P20">_xlfn.LET(
 _xlpm.project,TRIM($C20),
 _xlpm.attribute,TRIM(IF(P$3&lt;&gt;"",P$3,P$2)),
 _xlfn.XLOOKUP(
   1,
   (TRIM(Sources!$B$2:$B$461)=_xlpm.project)*(TRIM(Sources!$D$2:$D$461)=_xlpm.attribute),
   Sources!$E$2:$E$461,
   "UNKNOWN"
 )
)</f>
        <v>Smart contract oracle feed</v>
      </c>
      <c r="Q20" t="str" cm="1">
        <f t="array" ref="Q20">_xlfn.LET(
 _xlpm.project,TRIM($C20),
 _xlpm.attribute,TRIM(IF(Q$3&lt;&gt;"",Q$3,Q$2)),
 _xlfn.XLOOKUP(
   1,
   (TRIM(Sources!$B$2:$B$461)=_xlpm.project)*(TRIM(Sources!$D$2:$D$461)=_xlpm.attribute),
   Sources!$E$2:$E$461,
   "UNKNOWN"
 )
)</f>
        <v>Fractionalized</v>
      </c>
      <c r="R20" t="str" cm="1">
        <f t="array" ref="R20">_xlfn.LET(
 _xlpm.project,TRIM($C20),
 _xlpm.attribute,TRIM(IF(R$3&lt;&gt;"",R$3,R$2)),
 _xlfn.XLOOKUP(
   1,
   (TRIM(Sources!$B$2:$B$461)=_xlpm.project)*(TRIM(Sources!$D$2:$D$461)=_xlpm.attribute),
   Sources!$E$2:$E$461,
   "UNKNOWN"
 )
)</f>
        <v>Combination</v>
      </c>
      <c r="S20" t="str" cm="1">
        <f t="array" ref="S20">_xlfn.LET(
 _xlpm.project,TRIM($C20),
 _xlpm.attribute,TRIM(IF(S$3&lt;&gt;"",S$3,S$2)),
 _xlfn.XLOOKUP(
   1,
   (TRIM(Sources!$B$2:$B$461)=_xlpm.project)*(TRIM(Sources!$D$2:$D$461)=_xlpm.attribute),
   Sources!$E$2:$E$461,
   "UNKNOWN"
 )
)</f>
        <v>Yes</v>
      </c>
      <c r="T20" t="str" cm="1">
        <f t="array" ref="T20">_xlfn.LET(
 _xlpm.project,TRIM($C20),
 _xlpm.attribute,TRIM(IF(T$3&lt;&gt;"",T$3,T$2)),
 _xlfn.XLOOKUP(
   1,
   (TRIM(Sources!$B$2:$B$461)=_xlpm.project)*(TRIM(Sources!$D$2:$D$461)=_xlpm.attribute),
   Sources!$E$2:$E$461,
   "UNKNOWN"
 )
)</f>
        <v>Whitelist-restricted</v>
      </c>
      <c r="U20" t="str" cm="1">
        <f t="array" ref="U20">_xlfn.LET(
 _xlpm.project,TRIM($C20),
 _xlpm.attribute,TRIM(IF(U$3&lt;&gt;"",U$3,U$2)),
 _xlfn.XLOOKUP(
   1,
   (TRIM(Sources!$B$2:$B$461)=_xlpm.project)*(TRIM(Sources!$D$2:$D$461)=_xlpm.attribute),
   Sources!$E$2:$E$461,
   "UNKNOWN"
 )
)</f>
        <v>Interest income</v>
      </c>
      <c r="V20" t="str" cm="1">
        <f t="array" ref="V20">_xlfn.LET(
 _xlpm.project,TRIM($C20),
 _xlpm.attribute,TRIM(IF(V$3&lt;&gt;"",V$3,V$2)),
 _xlfn.XLOOKUP(
   1,
   (TRIM(Sources!$B$2:$B$461)=_xlpm.project)*(TRIM(Sources!$D$2:$D$461)=_xlpm.attribute),
   Sources!$E$2:$E$461,
   "UNKNOWN"
 )
)</f>
        <v>Accrual</v>
      </c>
      <c r="W20" t="str" cm="1">
        <f t="array" ref="W20">_xlfn.LET(
 _xlpm.project,TRIM($C20),
 _xlpm.attribute,TRIM(IF(W$3&lt;&gt;"",W$3,W$2)),
 _xlfn.XLOOKUP(
   1,
   (TRIM(Sources!$B$2:$B$461)=_xlpm.project)*(TRIM(Sources!$D$2:$D$461)=_xlpm.attribute),
   Sources!$E$2:$E$461,
   "UNKNOWN"
 )
)</f>
        <v>Uncapped</v>
      </c>
      <c r="X20" t="str" cm="1">
        <f t="array" ref="X20">_xlfn.LET(
 _xlpm.project,TRIM($C20),
 _xlpm.attribute,TRIM(IF(X$3&lt;&gt;"",X$3,X$2)),
 _xlfn.XLOOKUP(
   1,
   (TRIM(Sources!$B$2:$B$461)=_xlpm.project)*(TRIM(Sources!$D$2:$D$461)=_xlpm.attribute),
   Sources!$E$2:$E$461,
   "UNKNOWN"
 )
)</f>
        <v>Share register/token issuance; transfer permissioning; NAV oracle; redemption/burn; cross-chain interoperability</v>
      </c>
      <c r="Y20" t="str" cm="1">
        <f t="array" ref="Y20">_xlfn.LET(
 _xlpm.project,TRIM($C20),
 _xlpm.attribute,TRIM(IF(Y$3&lt;&gt;"",Y$3,Y$2)),
 _xlfn.XLOOKUP(
   1,
   (TRIM(Sources!$B$2:$B$461)=_xlpm.project)*(TRIM(Sources!$D$2:$D$461)=_xlpm.attribute),
   Sources!$E$2:$E$461,
   "UNKNOWN"
 )
)</f>
        <v>Ethereum; Polygon PoS; Arbitrum One; Starknet; Base; Etherlink; Stellar</v>
      </c>
      <c r="Z20" t="str" cm="1">
        <f t="array" ref="Z20">_xlfn.LET(
 _xlpm.project,TRIM($C20),
 _xlpm.attribute,TRIM(IF(Z$3&lt;&gt;"",Z$3,Z$2)),
 _xlfn.XLOOKUP(
   1,
   (TRIM(Sources!$B$2:$B$461)=_xlpm.project)*(TRIM(Sources!$D$2:$D$461)=_xlpm.attribute),
   Sources!$E$2:$E$461,
   "UNKNOWN"
 )
)</f>
        <v>Collateral in lending (Morpho; SG Forge EURCV/USDCV)</v>
      </c>
      <c r="AA20" t="str" cm="1">
        <f t="array" ref="AA20">_xlfn.LET(
 _xlpm.project,TRIM($C20),
 _xlpm.attribute,TRIM(IF(AA$3&lt;&gt;"",AA$3,AA$2)),
 _xlfn.XLOOKUP(
   1,
   (TRIM(Sources!$B$2:$B$461)=_xlpm.project)*(TRIM(Sources!$D$2:$D$461)=_xlpm.attribute),
   Sources!$E$2:$E$461,
   "UNKNOWN"
 )
)</f>
        <v>management fee; DLT transaction fees; operating expenses; wallet remediation fee</v>
      </c>
      <c r="AB20" t="str" cm="1">
        <f t="array" ref="AB20">_xlfn.LET(
 _xlpm.project,TRIM($C20),
 _xlpm.attribute,TRIM(IF(AB$3&lt;&gt;"",AB$3,AB$2)),
 _xlfn.XLOOKUP(
   1,
   (TRIM(Sources!$B$2:$B$461)=_xlpm.project)*(TRIM(Sources!$D$2:$D$461)=_xlpm.attribute),
   Sources!$E$2:$E$461,
   "UNKNOWN"
 )
)</f>
        <v>KYC gated; Whitelisted only</v>
      </c>
    </row>
    <row r="21" spans="1:28">
      <c r="A21" s="115"/>
      <c r="B21">
        <v>18</v>
      </c>
      <c r="C21" t="s">
        <v>890</v>
      </c>
      <c r="D21" s="25">
        <v>46145</v>
      </c>
      <c r="E21">
        <v>18</v>
      </c>
      <c r="F21" t="str" cm="1">
        <f t="array" ref="F21">_xlfn.LET(
 _xlpm.project,TRIM($C21),
 _xlpm.attribute,TRIM(IF(F$3&lt;&gt;"",F$3,F$2)),
 _xlfn.XLOOKUP(
   1,
   (TRIM(Sources!$B$2:$B$461)=_xlpm.project)*(TRIM(Sources!$D$2:$D$461)=_xlpm.attribute),
   Sources!$E$2:$E$461,
   "UNKNOWN"
 )
)</f>
        <v>France</v>
      </c>
      <c r="G21" t="str" cm="1">
        <f t="array" ref="G21">_xlfn.LET(
 _xlpm.project,TRIM($C21),
 _xlpm.attribute,TRIM(IF(G$3&lt;&gt;"",G$3,G$2)),
 _xlfn.XLOOKUP(
   1,
   (TRIM(Sources!$B$2:$B$461)=_xlpm.project)*(TRIM(Sources!$D$2:$D$461)=_xlpm.attribute),
   Sources!$E$2:$E$461,
   "UNKNOWN"
 )
)</f>
        <v>Bankruptcy remote vehicle: SPV</v>
      </c>
      <c r="H21" t="str" cm="1">
        <f t="array" ref="H21">_xlfn.LET(
 _xlpm.project,TRIM($C21),
 _xlpm.attribute,TRIM(IF(H$3&lt;&gt;"",H$3,H$2)),
 _xlfn.XLOOKUP(
   1,
   (TRIM(Sources!$B$2:$B$461)=_xlpm.project)*(TRIM(Sources!$D$2:$D$461)=_xlpm.attribute),
   Sources!$E$2:$E$461,
   "UNKNOWN"
 )
)</f>
        <v>UNKNOWN</v>
      </c>
      <c r="I21" t="str" cm="1">
        <f t="array" ref="I21">_xlfn.LET(
 _xlpm.project,TRIM($C21),
 _xlpm.attribute,TRIM(IF(I$3&lt;&gt;"",I$3,I$2)),
 _xlfn.XLOOKUP(
   1,
   (TRIM(Sources!$B$2:$B$461)=_xlpm.project)*(TRIM(Sources!$D$2:$D$461)=_xlpm.attribute),
   Sources!$E$2:$E$461,
   "UNKNOWN"
 )
)</f>
        <v>Institutional custodian (regulated)</v>
      </c>
      <c r="J21" t="str" cm="1">
        <f t="array" ref="J21">_xlfn.LET(
 _xlpm.project,TRIM($C21),
 _xlpm.attribute,TRIM(IF(J$3&lt;&gt;"",J$3,J$2)),
 _xlfn.XLOOKUP(
   1,
   (TRIM(Sources!$B$2:$B$461)=_xlpm.project)*(TRIM(Sources!$D$2:$D$461)=_xlpm.attribute),
   Sources!$E$2:$E$461,
   "UNKNOWN"
 )
)</f>
        <v>SPV held</v>
      </c>
      <c r="K21" t="str" cm="1">
        <f t="array" ref="K21">_xlfn.LET(
 _xlpm.project,TRIM($C21),
 _xlpm.attribute,TRIM(IF(K$3&lt;&gt;"",K$3,K$2)),
 _xlfn.XLOOKUP(
   1,
   (TRIM(Sources!$B$2:$B$461)=_xlpm.project)*(TRIM(Sources!$D$2:$D$461)=_xlpm.attribute),
   Sources!$E$2:$E$461,
   "UNKNOWN"
 )
)</f>
        <v>France (competent courts)</v>
      </c>
      <c r="L21" t="str" cm="1">
        <f t="array" ref="L21">_xlfn.LET(
 _xlpm.project,TRIM($C21),
 _xlpm.attribute,TRIM(IF(L$3&lt;&gt;"",L$3,L$2)),
 _xlfn.XLOOKUP(
   1,
   (TRIM(Sources!$B$2:$B$461)=_xlpm.project)*(TRIM(Sources!$D$2:$D$461)=_xlpm.attribute),
   Sources!$E$2:$E$461,
   "UNKNOWN"
 )
)</f>
        <v>Pro-rata claim on asset (share of pooled underlying)</v>
      </c>
      <c r="M21" t="str" cm="1">
        <f t="array" ref="M21">_xlfn.LET(
 _xlpm.project,TRIM($C21),
 _xlpm.attribute,TRIM(IF(M$3&lt;&gt;"",M$3,M$2)),
 _xlfn.XLOOKUP(
   1,
   (TRIM(Sources!$B$2:$B$461)=_xlpm.project)*(TRIM(Sources!$D$2:$D$461)=_xlpm.attribute),
   Sources!$E$2:$E$461,
   "UNKNOWN"
 )
)</f>
        <v>Redemption right; Interest entitlement; Governance/voting</v>
      </c>
      <c r="N21" t="str" cm="1">
        <f t="array" ref="N21">_xlfn.LET(
 _xlpm.project,TRIM($C21),
 _xlpm.attribute,TRIM(IF(N$3&lt;&gt;"",N$3,N$2)),
 _xlfn.XLOOKUP(
   1,
   (TRIM(Sources!$B$2:$B$461)=_xlpm.project)*(TRIM(Sources!$D$2:$D$461)=_xlpm.attribute),
   Sources!$E$2:$E$461,
   "UNKNOWN"
 )
)</f>
        <v>Fixed income (government/corporate bonds)</v>
      </c>
      <c r="O21" t="str" cm="1">
        <f t="array" ref="O21">_xlfn.LET(
 _xlpm.project,TRIM($C21),
 _xlpm.attribute,TRIM(IF(O$3&lt;&gt;"",O$3,O$2)),
 _xlfn.XLOOKUP(
   1,
   (TRIM(Sources!$B$2:$B$461)=_xlpm.project)*(TRIM(Sources!$D$2:$D$461)=_xlpm.attribute),
   Sources!$E$2:$E$461,
   "UNKNOWN"
 )
)</f>
        <v>Yes; four audits annually; https://www.spiko.io/spiko-treasury-bills-dollar</v>
      </c>
      <c r="P21" t="str" cm="1">
        <f t="array" ref="P21">_xlfn.LET(
 _xlpm.project,TRIM($C21),
 _xlpm.attribute,TRIM(IF(P$3&lt;&gt;"",P$3,P$2)),
 _xlfn.XLOOKUP(
   1,
   (TRIM(Sources!$B$2:$B$461)=_xlpm.project)*(TRIM(Sources!$D$2:$D$461)=_xlpm.attribute),
   Sources!$E$2:$E$461,
   "UNKNOWN"
 )
)</f>
        <v>Smart contract oracle feed</v>
      </c>
      <c r="Q21" t="str" cm="1">
        <f t="array" ref="Q21">_xlfn.LET(
 _xlpm.project,TRIM($C21),
 _xlpm.attribute,TRIM(IF(Q$3&lt;&gt;"",Q$3,Q$2)),
 _xlfn.XLOOKUP(
   1,
   (TRIM(Sources!$B$2:$B$461)=_xlpm.project)*(TRIM(Sources!$D$2:$D$461)=_xlpm.attribute),
   Sources!$E$2:$E$461,
   "UNKNOWN"
 )
)</f>
        <v>Fractionalized</v>
      </c>
      <c r="R21" t="str" cm="1">
        <f t="array" ref="R21">_xlfn.LET(
 _xlpm.project,TRIM($C21),
 _xlpm.attribute,TRIM(IF(R$3&lt;&gt;"",R$3,R$2)),
 _xlfn.XLOOKUP(
   1,
   (TRIM(Sources!$B$2:$B$461)=_xlpm.project)*(TRIM(Sources!$D$2:$D$461)=_xlpm.attribute),
   Sources!$E$2:$E$461,
   "UNKNOWN"
 )
)</f>
        <v>Combination</v>
      </c>
      <c r="S21" t="str" cm="1">
        <f t="array" ref="S21">_xlfn.LET(
 _xlpm.project,TRIM($C21),
 _xlpm.attribute,TRIM(IF(S$3&lt;&gt;"",S$3,S$2)),
 _xlfn.XLOOKUP(
   1,
   (TRIM(Sources!$B$2:$B$461)=_xlpm.project)*(TRIM(Sources!$D$2:$D$461)=_xlpm.attribute),
   Sources!$E$2:$E$461,
   "UNKNOWN"
 )
)</f>
        <v>Yes</v>
      </c>
      <c r="T21" t="str" cm="1">
        <f t="array" ref="T21">_xlfn.LET(
 _xlpm.project,TRIM($C21),
 _xlpm.attribute,TRIM(IF(T$3&lt;&gt;"",T$3,T$2)),
 _xlfn.XLOOKUP(
   1,
   (TRIM(Sources!$B$2:$B$461)=_xlpm.project)*(TRIM(Sources!$D$2:$D$461)=_xlpm.attribute),
   Sources!$E$2:$E$461,
   "UNKNOWN"
 )
)</f>
        <v>Whitelist-restricted</v>
      </c>
      <c r="U21" t="str" cm="1">
        <f t="array" ref="U21">_xlfn.LET(
 _xlpm.project,TRIM($C21),
 _xlpm.attribute,TRIM(IF(U$3&lt;&gt;"",U$3,U$2)),
 _xlfn.XLOOKUP(
   1,
   (TRIM(Sources!$B$2:$B$461)=_xlpm.project)*(TRIM(Sources!$D$2:$D$461)=_xlpm.attribute),
   Sources!$E$2:$E$461,
   "UNKNOWN"
 )
)</f>
        <v>Interest income</v>
      </c>
      <c r="V21" t="str" cm="1">
        <f t="array" ref="V21">_xlfn.LET(
 _xlpm.project,TRIM($C21),
 _xlpm.attribute,TRIM(IF(V$3&lt;&gt;"",V$3,V$2)),
 _xlfn.XLOOKUP(
   1,
   (TRIM(Sources!$B$2:$B$461)=_xlpm.project)*(TRIM(Sources!$D$2:$D$461)=_xlpm.attribute),
   Sources!$E$2:$E$461,
   "UNKNOWN"
 )
)</f>
        <v>Accrual</v>
      </c>
      <c r="W21" t="str" cm="1">
        <f t="array" ref="W21">_xlfn.LET(
 _xlpm.project,TRIM($C21),
 _xlpm.attribute,TRIM(IF(W$3&lt;&gt;"",W$3,W$2)),
 _xlfn.XLOOKUP(
   1,
   (TRIM(Sources!$B$2:$B$461)=_xlpm.project)*(TRIM(Sources!$D$2:$D$461)=_xlpm.attribute),
   Sources!$E$2:$E$461,
   "UNKNOWN"
 )
)</f>
        <v>Uncapped</v>
      </c>
      <c r="X21" t="str" cm="1">
        <f t="array" ref="X21">_xlfn.LET(
 _xlpm.project,TRIM($C21),
 _xlpm.attribute,TRIM(IF(X$3&lt;&gt;"",X$3,X$2)),
 _xlfn.XLOOKUP(
   1,
   (TRIM(Sources!$B$2:$B$461)=_xlpm.project)*(TRIM(Sources!$D$2:$D$461)=_xlpm.attribute),
   Sources!$E$2:$E$461,
   "UNKNOWN"
 )
)</f>
        <v>Share register/token issuance; transfer permissioning; NAV oracle; redemption/burn; cross-chain interoperability</v>
      </c>
      <c r="Y21" t="str" cm="1">
        <f t="array" ref="Y21">_xlfn.LET(
 _xlpm.project,TRIM($C21),
 _xlpm.attribute,TRIM(IF(Y$3&lt;&gt;"",Y$3,Y$2)),
 _xlfn.XLOOKUP(
   1,
   (TRIM(Sources!$B$2:$B$461)=_xlpm.project)*(TRIM(Sources!$D$2:$D$461)=_xlpm.attribute),
   Sources!$E$2:$E$461,
   "UNKNOWN"
 )
)</f>
        <v>Ethereum; Polygon PoS; Arbitrum One; Starknet; Base; Etherlink; Stellar</v>
      </c>
      <c r="Z21" t="str" cm="1">
        <f t="array" ref="Z21">_xlfn.LET(
 _xlpm.project,TRIM($C21),
 _xlpm.attribute,TRIM(IF(Z$3&lt;&gt;"",Z$3,Z$2)),
 _xlfn.XLOOKUP(
   1,
   (TRIM(Sources!$B$2:$B$461)=_xlpm.project)*(TRIM(Sources!$D$2:$D$461)=_xlpm.attribute),
   Sources!$E$2:$E$461,
   "UNKNOWN"
 )
)</f>
        <v>Collateral in lending (Morpho; SG Forge USDCV)</v>
      </c>
      <c r="AA21" t="str" cm="1">
        <f t="array" ref="AA21">_xlfn.LET(
 _xlpm.project,TRIM($C21),
 _xlpm.attribute,TRIM(IF(AA$3&lt;&gt;"",AA$3,AA$2)),
 _xlfn.XLOOKUP(
   1,
   (TRIM(Sources!$B$2:$B$461)=_xlpm.project)*(TRIM(Sources!$D$2:$D$461)=_xlpm.attribute),
   Sources!$E$2:$E$461,
   "UNKNOWN"
 )
)</f>
        <v>management fee; DLT transaction fees; operating expenses; wallet remediation fee</v>
      </c>
      <c r="AB21" t="str" cm="1">
        <f t="array" ref="AB21">_xlfn.LET(
 _xlpm.project,TRIM($C21),
 _xlpm.attribute,TRIM(IF(AB$3&lt;&gt;"",AB$3,AB$2)),
 _xlfn.XLOOKUP(
   1,
   (TRIM(Sources!$B$2:$B$461)=_xlpm.project)*(TRIM(Sources!$D$2:$D$461)=_xlpm.attribute),
   Sources!$E$2:$E$461,
   "UNKNOWN"
 )
)</f>
        <v>KYC gated; Whitelisted only</v>
      </c>
    </row>
    <row r="22" spans="1:28">
      <c r="A22" s="115"/>
      <c r="B22">
        <v>19</v>
      </c>
      <c r="C22" t="s">
        <v>1273</v>
      </c>
      <c r="D22" s="25">
        <v>46154</v>
      </c>
      <c r="E22">
        <v>19</v>
      </c>
      <c r="F22" t="str" cm="1">
        <f t="array" ref="F22">_xlfn.LET(
 _xlpm.project,TRIM($C22),
 _xlpm.attribute,TRIM(IF(F$3&lt;&gt;"",F$3,F$2)),
 _xlfn.XLOOKUP(
   1,
   (TRIM(Sources!$B$2:$B$461)=_xlpm.project)*(TRIM(Sources!$D$2:$D$461)=_xlpm.attribute),
   Sources!$E$2:$E$461,
   "UNKNOWN"
 )
)</f>
        <v>BVI</v>
      </c>
      <c r="G22" t="str" cm="1">
        <f t="array" ref="G22">_xlfn.LET(
 _xlpm.project,TRIM($C22),
 _xlpm.attribute,TRIM(IF(G$3&lt;&gt;"",G$3,G$2)),
 _xlfn.XLOOKUP(
   1,
   (TRIM(Sources!$B$2:$B$461)=_xlpm.project)*(TRIM(Sources!$D$2:$D$461)=_xlpm.attribute),
   Sources!$E$2:$E$461,
   "UNKNOWN"
 )
)</f>
        <v>Bankruptcy remote vehicle: SPV</v>
      </c>
      <c r="H22" t="str" cm="1">
        <f t="array" ref="H22">_xlfn.LET(
 _xlpm.project,TRIM($C22),
 _xlpm.attribute,TRIM(IF(H$3&lt;&gt;"",H$3,H$2)),
 _xlfn.XLOOKUP(
   1,
   (TRIM(Sources!$B$2:$B$461)=_xlpm.project)*(TRIM(Sources!$D$2:$D$461)=_xlpm.attribute),
   Sources!$E$2:$E$461,
   "UNKNOWN"
 )
)</f>
        <v>UNKNOWN</v>
      </c>
      <c r="I22" t="str" cm="1">
        <f t="array" ref="I22">_xlfn.LET(
 _xlpm.project,TRIM($C22),
 _xlpm.attribute,TRIM(IF(I$3&lt;&gt;"",I$3,I$2)),
 _xlfn.XLOOKUP(
   1,
   (TRIM(Sources!$B$2:$B$461)=_xlpm.project)*(TRIM(Sources!$D$2:$D$461)=_xlpm.attribute),
   Sources!$E$2:$E$461,
   "UNKNOWN"
 )
)</f>
        <v>Self-custodied by issuer</v>
      </c>
      <c r="J22" t="str" cm="1">
        <f t="array" ref="J22">_xlfn.LET(
 _xlpm.project,TRIM($C22),
 _xlpm.attribute,TRIM(IF(J$3&lt;&gt;"",J$3,J$2)),
 _xlfn.XLOOKUP(
   1,
   (TRIM(Sources!$B$2:$B$461)=_xlpm.project)*(TRIM(Sources!$D$2:$D$461)=_xlpm.attribute),
   Sources!$E$2:$E$461,
   "UNKNOWN"
 )
)</f>
        <v>SPV held</v>
      </c>
      <c r="K22" t="str" cm="1">
        <f t="array" ref="K22">_xlfn.LET(
 _xlpm.project,TRIM($C22),
 _xlpm.attribute,TRIM(IF(K$3&lt;&gt;"",K$3,K$2)),
 _xlfn.XLOOKUP(
   1,
   (TRIM(Sources!$B$2:$B$461)=_xlpm.project)*(TRIM(Sources!$D$2:$D$461)=_xlpm.attribute),
   Sources!$E$2:$E$461,
   "UNKNOWN"
 )
)</f>
        <v>UNKNOWN</v>
      </c>
      <c r="L22" t="str" cm="1">
        <f t="array" ref="L22">_xlfn.LET(
 _xlpm.project,TRIM($C22),
 _xlpm.attribute,TRIM(IF(L$3&lt;&gt;"",L$3,L$2)),
 _xlfn.XLOOKUP(
   1,
   (TRIM(Sources!$B$2:$B$461)=_xlpm.project)*(TRIM(Sources!$D$2:$D$461)=_xlpm.attribute),
   Sources!$E$2:$E$461,
   "UNKNOWN"
 )
)</f>
        <v>Pro-rata claim on asset (share of pooled underlying)</v>
      </c>
      <c r="M22" t="str" cm="1">
        <f t="array" ref="M22">_xlfn.LET(
 _xlpm.project,TRIM($C22),
 _xlpm.attribute,TRIM(IF(M$3&lt;&gt;"",M$3,M$2)),
 _xlfn.XLOOKUP(
   1,
   (TRIM(Sources!$B$2:$B$461)=_xlpm.project)*(TRIM(Sources!$D$2:$D$461)=_xlpm.attribute),
   Sources!$E$2:$E$461,
   "UNKNOWN"
 )
)</f>
        <v>Redemption right</v>
      </c>
      <c r="N22" t="str" cm="1">
        <f t="array" ref="N22">_xlfn.LET(
 _xlpm.project,TRIM($C22),
 _xlpm.attribute,TRIM(IF(N$3&lt;&gt;"",N$3,N$2)),
 _xlfn.XLOOKUP(
   1,
   (TRIM(Sources!$B$2:$B$461)=_xlpm.project)*(TRIM(Sources!$D$2:$D$461)=_xlpm.attribute),
   Sources!$E$2:$E$461,
   "UNKNOWN"
 )
)</f>
        <v>OTHER (Crypto Index)</v>
      </c>
      <c r="O22" t="str" cm="1">
        <f t="array" ref="O22">_xlfn.LET(
 _xlpm.project,TRIM($C22),
 _xlpm.attribute,TRIM(IF(O$3&lt;&gt;"",O$3,O$2)),
 _xlfn.XLOOKUP(
   1,
   (TRIM(Sources!$B$2:$B$461)=_xlpm.project)*(TRIM(Sources!$D$2:$D$461)=_xlpm.attribute),
   Sources!$E$2:$E$461,
   "UNKNOWN"
 )
)</f>
        <v>Yes; frequency UNKNOWN; https://mantleguard.com/</v>
      </c>
      <c r="P22" t="str" cm="1">
        <f t="array" ref="P22">_xlfn.LET(
 _xlpm.project,TRIM($C22),
 _xlpm.attribute,TRIM(IF(P$3&lt;&gt;"",P$3,P$2)),
 _xlfn.XLOOKUP(
   1,
   (TRIM(Sources!$B$2:$B$461)=_xlpm.project)*(TRIM(Sources!$D$2:$D$461)=_xlpm.attribute),
   Sources!$E$2:$E$461,
   "UNKNOWN"
 )
)</f>
        <v>UNKNOWN</v>
      </c>
      <c r="Q22" t="str" cm="1">
        <f t="array" ref="Q22">_xlfn.LET(
 _xlpm.project,TRIM($C22),
 _xlpm.attribute,TRIM(IF(Q$3&lt;&gt;"",Q$3,Q$2)),
 _xlfn.XLOOKUP(
   1,
   (TRIM(Sources!$B$2:$B$461)=_xlpm.project)*(TRIM(Sources!$D$2:$D$461)=_xlpm.attribute),
   Sources!$E$2:$E$461,
   "UNKNOWN"
 )
)</f>
        <v>UNKNOWN</v>
      </c>
      <c r="R22" t="str" cm="1">
        <f t="array" ref="R22">_xlfn.LET(
 _xlpm.project,TRIM($C22),
 _xlpm.attribute,TRIM(IF(R$3&lt;&gt;"",R$3,R$2)),
 _xlfn.XLOOKUP(
   1,
   (TRIM(Sources!$B$2:$B$461)=_xlpm.project)*(TRIM(Sources!$D$2:$D$461)=_xlpm.attribute),
   Sources!$E$2:$E$461,
   "UNKNOWN"
 )
)</f>
        <v>UNKNOWN</v>
      </c>
      <c r="S22" t="str" cm="1">
        <f t="array" ref="S22">_xlfn.LET(
 _xlpm.project,TRIM($C22),
 _xlpm.attribute,TRIM(IF(S$3&lt;&gt;"",S$3,S$2)),
 _xlfn.XLOOKUP(
   1,
   (TRIM(Sources!$B$2:$B$461)=_xlpm.project)*(TRIM(Sources!$D$2:$D$461)=_xlpm.attribute),
   Sources!$E$2:$E$461,
   "UNKNOWN"
 )
)</f>
        <v>UNKNOWN</v>
      </c>
      <c r="T22" t="str" cm="1">
        <f t="array" ref="T22">_xlfn.LET(
 _xlpm.project,TRIM($C22),
 _xlpm.attribute,TRIM(IF(T$3&lt;&gt;"",T$3,T$2)),
 _xlfn.XLOOKUP(
   1,
   (TRIM(Sources!$B$2:$B$461)=_xlpm.project)*(TRIM(Sources!$D$2:$D$461)=_xlpm.attribute),
   Sources!$E$2:$E$461,
   "UNKNOWN"
 )
)</f>
        <v>Whitelist-restricted</v>
      </c>
      <c r="U22" t="str" cm="1">
        <f t="array" ref="U22">_xlfn.LET(
 _xlpm.project,TRIM($C22),
 _xlpm.attribute,TRIM(IF(U$3&lt;&gt;"",U$3,U$2)),
 _xlfn.XLOOKUP(
   1,
   (TRIM(Sources!$B$2:$B$461)=_xlpm.project)*(TRIM(Sources!$D$2:$D$461)=_xlpm.attribute),
   Sources!$E$2:$E$461,
   "UNKNOWN"
 )
)</f>
        <v>Staking rewards</v>
      </c>
      <c r="V22" t="str" cm="1">
        <f t="array" ref="V22">_xlfn.LET(
 _xlpm.project,TRIM($C22),
 _xlpm.attribute,TRIM(IF(V$3&lt;&gt;"",V$3,V$2)),
 _xlfn.XLOOKUP(
   1,
   (TRIM(Sources!$B$2:$B$461)=_xlpm.project)*(TRIM(Sources!$D$2:$D$461)=_xlpm.attribute),
   Sources!$E$2:$E$461,
   "UNKNOWN"
 )
)</f>
        <v>Accrual</v>
      </c>
      <c r="W22" t="str" cm="1">
        <f t="array" ref="W22">_xlfn.LET(
 _xlpm.project,TRIM($C22),
 _xlpm.attribute,TRIM(IF(W$3&lt;&gt;"",W$3,W$2)),
 _xlfn.XLOOKUP(
   1,
   (TRIM(Sources!$B$2:$B$461)=_xlpm.project)*(TRIM(Sources!$D$2:$D$461)=_xlpm.attribute),
   Sources!$E$2:$E$461,
   "UNKNOWN"
 )
)</f>
        <v>Uncapped</v>
      </c>
      <c r="X22" t="str" cm="1">
        <f t="array" ref="X22">_xlfn.LET(
 _xlpm.project,TRIM($C22),
 _xlpm.attribute,TRIM(IF(X$3&lt;&gt;"",X$3,X$2)),
 _xlfn.XLOOKUP(
   1,
   (TRIM(Sources!$B$2:$B$461)=_xlpm.project)*(TRIM(Sources!$D$2:$D$461)=_xlpm.attribute),
   Sources!$E$2:$E$461,
   "UNKNOWN"
 )
)</f>
        <v>Fund interest tokenization; transfer permissioning; on-chain transfer; collateral use</v>
      </c>
      <c r="Y22" t="str" cm="1">
        <f t="array" ref="Y22">_xlfn.LET(
 _xlpm.project,TRIM($C22),
 _xlpm.attribute,TRIM(IF(Y$3&lt;&gt;"",Y$3,Y$2)),
 _xlfn.XLOOKUP(
   1,
   (TRIM(Sources!$B$2:$B$461)=_xlpm.project)*(TRIM(Sources!$D$2:$D$461)=_xlpm.attribute),
   Sources!$E$2:$E$461,
   "UNKNOWN"
 )
)</f>
        <v>Mantle Network</v>
      </c>
      <c r="Z22" t="str" cm="1">
        <f t="array" ref="Z22">_xlfn.LET(
 _xlpm.project,TRIM($C22),
 _xlpm.attribute,TRIM(IF(Z$3&lt;&gt;"",Z$3,Z$2)),
 _xlfn.XLOOKUP(
   1,
   (TRIM(Sources!$B$2:$B$461)=_xlpm.project)*(TRIM(Sources!$D$2:$D$461)=_xlpm.attribute),
   Sources!$E$2:$E$461,
   "UNKNOWN"
 )
)</f>
        <v>Other (collateral use on supported exchanges; future DeFi utilities)</v>
      </c>
      <c r="AA22" t="str" cm="1">
        <f t="array" ref="AA22">_xlfn.LET(
 _xlpm.project,TRIM($C22),
 _xlpm.attribute,TRIM(IF(AA$3&lt;&gt;"",AA$3,AA$2)),
 _xlfn.XLOOKUP(
   1,
   (TRIM(Sources!$B$2:$B$461)=_xlpm.project)*(TRIM(Sources!$D$2:$D$461)=_xlpm.attribute),
   Sources!$E$2:$E$461,
   "UNKNOWN"
 )
)</f>
        <v>management fee</v>
      </c>
      <c r="AB22" t="str" cm="1">
        <f t="array" ref="AB22">_xlfn.LET(
 _xlpm.project,TRIM($C22),
 _xlpm.attribute,TRIM(IF(AB$3&lt;&gt;"",AB$3,AB$2)),
 _xlfn.XLOOKUP(
   1,
   (TRIM(Sources!$B$2:$B$461)=_xlpm.project)*(TRIM(Sources!$D$2:$D$461)=_xlpm.attribute),
   Sources!$E$2:$E$461,
   "UNKNOWN"
 )
)</f>
        <v>Qualified investors only</v>
      </c>
    </row>
    <row r="23" spans="1:28">
      <c r="A23" s="115"/>
      <c r="B23">
        <v>20</v>
      </c>
      <c r="C23" t="s">
        <v>1278</v>
      </c>
      <c r="D23" s="25">
        <v>46154</v>
      </c>
      <c r="E23">
        <v>20</v>
      </c>
      <c r="F23" t="str" cm="1">
        <f t="array" ref="F23">_xlfn.LET(
 _xlpm.project,TRIM($C23),
 _xlpm.attribute,TRIM(IF(F$3&lt;&gt;"",F$3,F$2)),
 _xlfn.XLOOKUP(
   1,
   (TRIM(Sources!$B$2:$B$461)=_xlpm.project)*(TRIM(Sources!$D$2:$D$461)=_xlpm.attribute),
   Sources!$E$2:$E$461,
   "UNKNOWN"
 )
)</f>
        <v>Germany</v>
      </c>
      <c r="G23" t="str" cm="1">
        <f t="array" ref="G23">_xlfn.LET(
 _xlpm.project,TRIM($C23),
 _xlpm.attribute,TRIM(IF(G$3&lt;&gt;"",G$3,G$2)),
 _xlfn.XLOOKUP(
   1,
   (TRIM(Sources!$B$2:$B$461)=_xlpm.project)*(TRIM(Sources!$D$2:$D$461)=_xlpm.attribute),
   Sources!$E$2:$E$461,
   "UNKNOWN"
 )
)</f>
        <v>Direct Issuer: GmbH</v>
      </c>
      <c r="H23" t="str" cm="1">
        <f t="array" ref="H23">_xlfn.LET(
 _xlpm.project,TRIM($C23),
 _xlpm.attribute,TRIM(IF(H$3&lt;&gt;"",H$3,H$2)),
 _xlfn.XLOOKUP(
   1,
   (TRIM(Sources!$B$2:$B$461)=_xlpm.project)*(TRIM(Sources!$D$2:$D$461)=_xlpm.attribute),
   Sources!$E$2:$E$461,
   "UNKNOWN"
 )
)</f>
        <v>UNKNOWN</v>
      </c>
      <c r="I23" t="str" cm="1">
        <f t="array" ref="I23">_xlfn.LET(
 _xlpm.project,TRIM($C23),
 _xlpm.attribute,TRIM(IF(I$3&lt;&gt;"",I$3,I$2)),
 _xlfn.XLOOKUP(
   1,
   (TRIM(Sources!$B$2:$B$461)=_xlpm.project)*(TRIM(Sources!$D$2:$D$461)=_xlpm.attribute),
   Sources!$E$2:$E$461,
   "UNKNOWN"
 )
)</f>
        <v>UNKNOWN</v>
      </c>
      <c r="J23" t="str" cm="1">
        <f t="array" ref="J23">_xlfn.LET(
 _xlpm.project,TRIM($C23),
 _xlpm.attribute,TRIM(IF(J$3&lt;&gt;"",J$3,J$2)),
 _xlfn.XLOOKUP(
   1,
   (TRIM(Sources!$B$2:$B$461)=_xlpm.project)*(TRIM(Sources!$D$2:$D$461)=_xlpm.attribute),
   Sources!$E$2:$E$461,
   "UNKNOWN"
 )
)</f>
        <v>N/A</v>
      </c>
      <c r="K23" t="str" cm="1">
        <f t="array" ref="K23">_xlfn.LET(
 _xlpm.project,TRIM($C23),
 _xlpm.attribute,TRIM(IF(K$3&lt;&gt;"",K$3,K$2)),
 _xlfn.XLOOKUP(
   1,
   (TRIM(Sources!$B$2:$B$461)=_xlpm.project)*(TRIM(Sources!$D$2:$D$461)=_xlpm.attribute),
   Sources!$E$2:$E$461,
   "UNKNOWN"
 )
)</f>
        <v>UNKNOWN</v>
      </c>
      <c r="L23" t="str" cm="1">
        <f t="array" ref="L23">_xlfn.LET(
 _xlpm.project,TRIM($C23),
 _xlpm.attribute,TRIM(IF(L$3&lt;&gt;"",L$3,L$2)),
 _xlfn.XLOOKUP(
   1,
   (TRIM(Sources!$B$2:$B$461)=_xlpm.project)*(TRIM(Sources!$D$2:$D$461)=_xlpm.attribute),
   Sources!$E$2:$E$461,
   "UNKNOWN"
 )
)</f>
        <v>Debt Instrument (Claim as a creditor)</v>
      </c>
      <c r="M23" t="str" cm="1">
        <f t="array" ref="M23">_xlfn.LET(
 _xlpm.project,TRIM($C23),
 _xlpm.attribute,TRIM(IF(M$3&lt;&gt;"",M$3,M$2)),
 _xlfn.XLOOKUP(
   1,
   (TRIM(Sources!$B$2:$B$461)=_xlpm.project)*(TRIM(Sources!$D$2:$D$461)=_xlpm.attribute),
   Sources!$E$2:$E$461,
   "UNKNOWN"
 )
)</f>
        <v>Redemption right</v>
      </c>
      <c r="N23" t="str" cm="1">
        <f t="array" ref="N23">_xlfn.LET(
 _xlpm.project,TRIM($C23),
 _xlpm.attribute,TRIM(IF(N$3&lt;&gt;"",N$3,N$2)),
 _xlfn.XLOOKUP(
   1,
   (TRIM(Sources!$B$2:$B$461)=_xlpm.project)*(TRIM(Sources!$D$2:$D$461)=_xlpm.attribute),
   Sources!$E$2:$E$461,
   "UNKNOWN"
 )
)</f>
        <v>OTHER</v>
      </c>
      <c r="O23" t="str" cm="1">
        <f t="array" ref="O23">_xlfn.LET(
 _xlpm.project,TRIM($C23),
 _xlpm.attribute,TRIM(IF(O$3&lt;&gt;"",O$3,O$2)),
 _xlfn.XLOOKUP(
   1,
   (TRIM(Sources!$B$2:$B$461)=_xlpm.project)*(TRIM(Sources!$D$2:$D$461)=_xlpm.attribute),
   Sources!$E$2:$E$461,
   "UNKNOWN"
 )
)</f>
        <v>UNKNOWN</v>
      </c>
      <c r="P23" t="str" cm="1">
        <f t="array" ref="P23">_xlfn.LET(
 _xlpm.project,TRIM($C23),
 _xlpm.attribute,TRIM(IF(P$3&lt;&gt;"",P$3,P$2)),
 _xlfn.XLOOKUP(
   1,
   (TRIM(Sources!$B$2:$B$461)=_xlpm.project)*(TRIM(Sources!$D$2:$D$461)=_xlpm.attribute),
   Sources!$E$2:$E$461,
   "UNKNOWN"
 )
)</f>
        <v>Smart contract oracle feed</v>
      </c>
      <c r="Q23" t="str" cm="1">
        <f t="array" ref="Q23">_xlfn.LET(
 _xlpm.project,TRIM($C23),
 _xlpm.attribute,TRIM(IF(Q$3&lt;&gt;"",Q$3,Q$2)),
 _xlfn.XLOOKUP(
   1,
   (TRIM(Sources!$B$2:$B$461)=_xlpm.project)*(TRIM(Sources!$D$2:$D$461)=_xlpm.attribute),
   Sources!$E$2:$E$461,
   "UNKNOWN"
 )
)</f>
        <v>Fractionalized</v>
      </c>
      <c r="R23" t="str" cm="1">
        <f t="array" ref="R23">_xlfn.LET(
 _xlpm.project,TRIM($C23),
 _xlpm.attribute,TRIM(IF(R$3&lt;&gt;"",R$3,R$2)),
 _xlfn.XLOOKUP(
   1,
   (TRIM(Sources!$B$2:$B$461)=_xlpm.project)*(TRIM(Sources!$D$2:$D$461)=_xlpm.attribute),
   Sources!$E$2:$E$461,
   "UNKNOWN"
 )
)</f>
        <v>UNKNOWN</v>
      </c>
      <c r="S23" t="str" cm="1">
        <f t="array" ref="S23">_xlfn.LET(
 _xlpm.project,TRIM($C23),
 _xlpm.attribute,TRIM(IF(S$3&lt;&gt;"",S$3,S$2)),
 _xlfn.XLOOKUP(
   1,
   (TRIM(Sources!$B$2:$B$461)=_xlpm.project)*(TRIM(Sources!$D$2:$D$461)=_xlpm.attribute),
   Sources!$E$2:$E$461,
   "UNKNOWN"
 )
)</f>
        <v>UNKNOWN</v>
      </c>
      <c r="T23" t="str" cm="1">
        <f t="array" ref="T23">_xlfn.LET(
 _xlpm.project,TRIM($C23),
 _xlpm.attribute,TRIM(IF(T$3&lt;&gt;"",T$3,T$2)),
 _xlfn.XLOOKUP(
   1,
   (TRIM(Sources!$B$2:$B$461)=_xlpm.project)*(TRIM(Sources!$D$2:$D$461)=_xlpm.attribute),
   Sources!$E$2:$E$461,
   "UNKNOWN"
 )
)</f>
        <v>Whitelist-restricted</v>
      </c>
      <c r="U23" t="str" cm="1">
        <f t="array" ref="U23">_xlfn.LET(
 _xlpm.project,TRIM($C23),
 _xlpm.attribute,TRIM(IF(U$3&lt;&gt;"",U$3,U$2)),
 _xlfn.XLOOKUP(
   1,
   (TRIM(Sources!$B$2:$B$461)=_xlpm.project)*(TRIM(Sources!$D$2:$D$461)=_xlpm.attribute),
   Sources!$E$2:$E$461,
   "UNKNOWN"
 )
)</f>
        <v>OTHER (Capital Appreciation, Income Accumulation)</v>
      </c>
      <c r="V23" t="str" cm="1">
        <f t="array" ref="V23">_xlfn.LET(
 _xlpm.project,TRIM($C23),
 _xlpm.attribute,TRIM(IF(V$3&lt;&gt;"",V$3,V$2)),
 _xlfn.XLOOKUP(
   1,
   (TRIM(Sources!$B$2:$B$461)=_xlpm.project)*(TRIM(Sources!$D$2:$D$461)=_xlpm.attribute),
   Sources!$E$2:$E$461,
   "UNKNOWN"
 )
)</f>
        <v>Accrual</v>
      </c>
      <c r="W23" t="str" cm="1">
        <f t="array" ref="W23">_xlfn.LET(
 _xlpm.project,TRIM($C23),
 _xlpm.attribute,TRIM(IF(W$3&lt;&gt;"",W$3,W$2)),
 _xlfn.XLOOKUP(
   1,
   (TRIM(Sources!$B$2:$B$461)=_xlpm.project)*(TRIM(Sources!$D$2:$D$461)=_xlpm.attribute),
   Sources!$E$2:$E$461,
   "UNKNOWN"
 )
)</f>
        <v>UNKNOWN</v>
      </c>
      <c r="X23" t="str" cm="1">
        <f t="array" ref="X23">_xlfn.LET(
 _xlpm.project,TRIM($C23),
 _xlpm.attribute,TRIM(IF(X$3&lt;&gt;"",X$3,X$2)),
 _xlfn.XLOOKUP(
   1,
   (TRIM(Sources!$B$2:$B$461)=_xlpm.project)*(TRIM(Sources!$D$2:$D$461)=_xlpm.attribute),
   Sources!$E$2:$E$461,
   "UNKNOWN"
 )
)</f>
        <v>ERC-20 token; issuance vault; redemption vault; NAV/USD oracle</v>
      </c>
      <c r="Y23" t="str" cm="1">
        <f t="array" ref="Y23">_xlfn.LET(
 _xlpm.project,TRIM($C23),
 _xlpm.attribute,TRIM(IF(Y$3&lt;&gt;"",Y$3,Y$2)),
 _xlfn.XLOOKUP(
   1,
   (TRIM(Sources!$B$2:$B$461)=_xlpm.project)*(TRIM(Sources!$D$2:$D$461)=_xlpm.attribute),
   Sources!$E$2:$E$461,
   "UNKNOWN"
 )
)</f>
        <v>Ethereum</v>
      </c>
      <c r="Z23" t="str" cm="1">
        <f t="array" ref="Z23">_xlfn.LET(
 _xlpm.project,TRIM($C23),
 _xlpm.attribute,TRIM(IF(Z$3&lt;&gt;"",Z$3,Z$2)),
 _xlfn.XLOOKUP(
   1,
   (TRIM(Sources!$B$2:$B$461)=_xlpm.project)*(TRIM(Sources!$D$2:$D$461)=_xlpm.attribute),
   Sources!$E$2:$E$461,
   "UNKNOWN"
 )
)</f>
        <v>Collateral in liquidity pool and on Morpho</v>
      </c>
      <c r="AA23" t="str" cm="1">
        <f t="array" ref="AA23">_xlfn.LET(
 _xlpm.project,TRIM($C23),
 _xlpm.attribute,TRIM(IF(AA$3&lt;&gt;"",AA$3,AA$2)),
 _xlfn.XLOOKUP(
   1,
   (TRIM(Sources!$B$2:$B$461)=_xlpm.project)*(TRIM(Sources!$D$2:$D$461)=_xlpm.attribute),
   Sources!$E$2:$E$461,
   "UNKNOWN"
 )
)</f>
        <v>Minting Fee; Redemption Fee</v>
      </c>
      <c r="AB23" t="str" cm="1">
        <f t="array" ref="AB23">_xlfn.LET(
 _xlpm.project,TRIM($C23),
 _xlpm.attribute,TRIM(IF(AB$3&lt;&gt;"",AB$3,AB$2)),
 _xlfn.XLOOKUP(
   1,
   (TRIM(Sources!$B$2:$B$461)=_xlpm.project)*(TRIM(Sources!$D$2:$D$461)=_xlpm.attribute),
   Sources!$E$2:$E$461,
   "UNKNOWN"
 )
)</f>
        <v>Qualified investors only; KYC gated; Whitelisted only</v>
      </c>
    </row>
    <row r="24" spans="1:28">
      <c r="A24" s="115"/>
    </row>
    <row r="25" spans="1:28">
      <c r="A25" s="115"/>
    </row>
    <row r="26" spans="1:28">
      <c r="A26" s="115"/>
    </row>
    <row r="27" spans="1:28">
      <c r="A27" s="115"/>
    </row>
    <row r="28" spans="1:28">
      <c r="A28" s="115"/>
    </row>
    <row r="29" spans="1:28">
      <c r="A29" s="115"/>
    </row>
    <row r="30" spans="1:28">
      <c r="A30" s="115"/>
    </row>
    <row r="31" spans="1:28">
      <c r="A31" s="115"/>
    </row>
    <row r="32" spans="1:28">
      <c r="A32" s="115"/>
    </row>
    <row r="33" spans="1:1">
      <c r="A33" s="115"/>
    </row>
    <row r="34" spans="1:1">
      <c r="A34" s="115"/>
    </row>
    <row r="35" spans="1:1">
      <c r="A35" s="115"/>
    </row>
    <row r="36" spans="1:1">
      <c r="A36" s="115"/>
    </row>
    <row r="37" spans="1:1">
      <c r="A37" s="115"/>
    </row>
    <row r="38" spans="1:1">
      <c r="A38" s="115"/>
    </row>
    <row r="39" spans="1:1">
      <c r="A39" s="115"/>
    </row>
    <row r="40" spans="1:1">
      <c r="A40" s="115"/>
    </row>
    <row r="41" spans="1:1">
      <c r="A41" s="115"/>
    </row>
    <row r="42" spans="1:1">
      <c r="A42" s="115"/>
    </row>
    <row r="43" spans="1:1">
      <c r="A43" s="115"/>
    </row>
    <row r="44" spans="1:1">
      <c r="A44" s="115"/>
    </row>
    <row r="45" spans="1:1">
      <c r="A45" s="115"/>
    </row>
    <row r="46" spans="1:1">
      <c r="A46" s="115"/>
    </row>
    <row r="47" spans="1:1">
      <c r="A47" s="115"/>
    </row>
    <row r="48" spans="1:1">
      <c r="A48" s="115"/>
    </row>
    <row r="49" spans="1:1">
      <c r="A49" s="115"/>
    </row>
    <row r="50" spans="1:1">
      <c r="A50" s="115"/>
    </row>
    <row r="51" spans="1:1">
      <c r="A51" s="115"/>
    </row>
    <row r="52" spans="1:1">
      <c r="A52" s="115"/>
    </row>
    <row r="53" spans="1:1">
      <c r="A53" s="115"/>
    </row>
    <row r="54" spans="1:1">
      <c r="A54" s="115"/>
    </row>
    <row r="55" spans="1:1">
      <c r="A55" s="115"/>
    </row>
    <row r="56" spans="1:1">
      <c r="A56" s="115"/>
    </row>
    <row r="57" spans="1:1">
      <c r="A57" s="115"/>
    </row>
    <row r="58" spans="1:1">
      <c r="A58" s="115"/>
    </row>
    <row r="59" spans="1:1">
      <c r="A59" s="115"/>
    </row>
    <row r="60" spans="1:1">
      <c r="A60" s="115"/>
    </row>
    <row r="61" spans="1:1">
      <c r="A61" s="115"/>
    </row>
    <row r="62" spans="1:1">
      <c r="A62" s="115"/>
    </row>
    <row r="63" spans="1:1">
      <c r="A63" s="115"/>
    </row>
    <row r="64" spans="1:1">
      <c r="A64" s="115"/>
    </row>
    <row r="65" spans="1:1">
      <c r="A65" s="115"/>
    </row>
    <row r="66" spans="1:1">
      <c r="A66" s="115"/>
    </row>
    <row r="67" spans="1:1">
      <c r="A67" s="115"/>
    </row>
    <row r="68" spans="1:1">
      <c r="A68" s="115"/>
    </row>
    <row r="69" spans="1:1">
      <c r="A69" s="115"/>
    </row>
    <row r="70" spans="1:1">
      <c r="A70" s="115"/>
    </row>
    <row r="71" spans="1:1">
      <c r="A71" s="115"/>
    </row>
    <row r="72" spans="1:1">
      <c r="A72" s="115"/>
    </row>
    <row r="73" spans="1:1">
      <c r="A73" s="115"/>
    </row>
    <row r="74" spans="1:1">
      <c r="A74" s="115"/>
    </row>
    <row r="75" spans="1:1">
      <c r="A75" s="115"/>
    </row>
    <row r="76" spans="1:1">
      <c r="A76" s="115"/>
    </row>
    <row r="77" spans="1:1">
      <c r="A77" s="115"/>
    </row>
    <row r="78" spans="1:1">
      <c r="A78" s="115"/>
    </row>
    <row r="79" spans="1:1">
      <c r="A79" s="115"/>
    </row>
    <row r="80" spans="1:1">
      <c r="A80" s="115"/>
    </row>
    <row r="81" spans="1:1">
      <c r="A81" s="115"/>
    </row>
    <row r="82" spans="1:1">
      <c r="A82" s="115"/>
    </row>
    <row r="83" spans="1:1">
      <c r="A83" s="115"/>
    </row>
    <row r="84" spans="1:1">
      <c r="A84" s="115"/>
    </row>
    <row r="85" spans="1:1">
      <c r="A85" s="115"/>
    </row>
    <row r="86" spans="1:1">
      <c r="A86" s="115"/>
    </row>
    <row r="87" spans="1:1">
      <c r="A87" s="115"/>
    </row>
    <row r="88" spans="1:1">
      <c r="A88" s="115"/>
    </row>
    <row r="89" spans="1:1">
      <c r="A89" s="115"/>
    </row>
    <row r="90" spans="1:1">
      <c r="A90" s="115"/>
    </row>
    <row r="91" spans="1:1">
      <c r="A91" s="115"/>
    </row>
    <row r="92" spans="1:1">
      <c r="A92" s="115"/>
    </row>
    <row r="93" spans="1:1">
      <c r="A93" s="115"/>
    </row>
    <row r="94" spans="1:1">
      <c r="A94" s="115"/>
    </row>
    <row r="95" spans="1:1">
      <c r="A95" s="115"/>
    </row>
    <row r="96" spans="1:1">
      <c r="A96" s="115"/>
    </row>
    <row r="97" spans="1:1">
      <c r="A97" s="115"/>
    </row>
    <row r="98" spans="1:1">
      <c r="A98" s="115"/>
    </row>
    <row r="99" spans="1:1">
      <c r="A99" s="115"/>
    </row>
    <row r="100" spans="1:1">
      <c r="A100" s="115"/>
    </row>
    <row r="101" spans="1:1">
      <c r="A101" s="115"/>
    </row>
    <row r="102" spans="1:1">
      <c r="A102" s="115"/>
    </row>
    <row r="103" spans="1:1">
      <c r="A103" s="115"/>
    </row>
    <row r="104" spans="1:1">
      <c r="A104" s="115"/>
    </row>
    <row r="105" spans="1:1">
      <c r="A105" s="115"/>
    </row>
    <row r="106" spans="1:1">
      <c r="A106" s="115"/>
    </row>
    <row r="107" spans="1:1">
      <c r="A107" s="115"/>
    </row>
    <row r="108" spans="1:1">
      <c r="A108" s="115"/>
    </row>
    <row r="109" spans="1:1">
      <c r="A109" s="115"/>
    </row>
    <row r="110" spans="1:1">
      <c r="A110" s="115"/>
    </row>
    <row r="111" spans="1:1">
      <c r="A111" s="115"/>
    </row>
    <row r="112" spans="1:1">
      <c r="A112" s="115"/>
    </row>
    <row r="113" spans="1:1">
      <c r="A113" s="115"/>
    </row>
    <row r="114" spans="1:1">
      <c r="A114" s="115"/>
    </row>
    <row r="115" spans="1:1">
      <c r="A115" s="115"/>
    </row>
    <row r="116" spans="1:1">
      <c r="A116" s="115"/>
    </row>
    <row r="117" spans="1:1">
      <c r="A117" s="115"/>
    </row>
    <row r="118" spans="1:1">
      <c r="A118" s="115"/>
    </row>
    <row r="119" spans="1:1">
      <c r="A119" s="115"/>
    </row>
    <row r="120" spans="1:1">
      <c r="A120" s="115"/>
    </row>
    <row r="121" spans="1:1">
      <c r="A121" s="115"/>
    </row>
    <row r="122" spans="1:1">
      <c r="A122" s="115"/>
    </row>
    <row r="123" spans="1:1">
      <c r="A123" s="115"/>
    </row>
    <row r="124" spans="1:1">
      <c r="A124" s="115"/>
    </row>
    <row r="125" spans="1:1">
      <c r="A125" s="115"/>
    </row>
    <row r="126" spans="1:1">
      <c r="A126" s="115"/>
    </row>
    <row r="127" spans="1:1">
      <c r="A127" s="115"/>
    </row>
    <row r="128" spans="1:1">
      <c r="A128" s="115"/>
    </row>
    <row r="129" spans="1:1">
      <c r="A129" s="115"/>
    </row>
    <row r="130" spans="1:1">
      <c r="A130" s="115"/>
    </row>
    <row r="131" spans="1:1">
      <c r="A131" s="115"/>
    </row>
    <row r="132" spans="1:1">
      <c r="A132" s="115"/>
    </row>
    <row r="133" spans="1:1">
      <c r="A133" s="115"/>
    </row>
    <row r="134" spans="1:1">
      <c r="A134" s="115"/>
    </row>
    <row r="135" spans="1:1">
      <c r="A135" s="115"/>
    </row>
    <row r="136" spans="1:1">
      <c r="A136" s="115"/>
    </row>
    <row r="137" spans="1:1">
      <c r="A137" s="115"/>
    </row>
    <row r="138" spans="1:1">
      <c r="A138" s="115"/>
    </row>
    <row r="139" spans="1:1">
      <c r="A139" s="115"/>
    </row>
    <row r="140" spans="1:1">
      <c r="A140" s="115"/>
    </row>
    <row r="141" spans="1:1">
      <c r="A141" s="115"/>
    </row>
    <row r="142" spans="1:1">
      <c r="A142" s="115"/>
    </row>
    <row r="143" spans="1:1">
      <c r="A143" s="115"/>
    </row>
    <row r="144" spans="1:1">
      <c r="A144" s="115"/>
    </row>
    <row r="145" spans="1:1">
      <c r="A145" s="115"/>
    </row>
    <row r="146" spans="1:1">
      <c r="A146" s="115"/>
    </row>
    <row r="147" spans="1:1">
      <c r="A147" s="115"/>
    </row>
    <row r="148" spans="1:1">
      <c r="A148" s="115"/>
    </row>
    <row r="149" spans="1:1">
      <c r="A149" s="115"/>
    </row>
    <row r="150" spans="1:1">
      <c r="A150" s="115"/>
    </row>
    <row r="151" spans="1:1">
      <c r="A151" s="115"/>
    </row>
    <row r="152" spans="1:1">
      <c r="A152" s="115"/>
    </row>
    <row r="153" spans="1:1">
      <c r="A153" s="115"/>
    </row>
    <row r="154" spans="1:1">
      <c r="A154" s="115"/>
    </row>
    <row r="155" spans="1:1">
      <c r="A155" s="115"/>
    </row>
    <row r="156" spans="1:1">
      <c r="A156" s="115"/>
    </row>
    <row r="157" spans="1:1">
      <c r="A157" s="115"/>
    </row>
    <row r="158" spans="1:1">
      <c r="A158" s="115"/>
    </row>
    <row r="159" spans="1:1">
      <c r="A159" s="115"/>
    </row>
    <row r="160" spans="1:1">
      <c r="A160" s="115"/>
    </row>
    <row r="161" spans="1:1">
      <c r="A161" s="115"/>
    </row>
    <row r="162" spans="1:1">
      <c r="A162" s="115"/>
    </row>
    <row r="163" spans="1:1">
      <c r="A163" s="115"/>
    </row>
    <row r="164" spans="1:1">
      <c r="A164" s="115"/>
    </row>
    <row r="165" spans="1:1">
      <c r="A165" s="115"/>
    </row>
    <row r="166" spans="1:1">
      <c r="A166" s="115"/>
    </row>
    <row r="167" spans="1:1">
      <c r="A167" s="115"/>
    </row>
    <row r="168" spans="1:1">
      <c r="A168" s="115"/>
    </row>
    <row r="169" spans="1:1">
      <c r="A169" s="115"/>
    </row>
    <row r="170" spans="1:1">
      <c r="A170" s="115"/>
    </row>
    <row r="171" spans="1:1">
      <c r="A171" s="115"/>
    </row>
    <row r="172" spans="1:1">
      <c r="A172" s="115"/>
    </row>
    <row r="173" spans="1:1">
      <c r="A173" s="115"/>
    </row>
    <row r="174" spans="1:1">
      <c r="A174" s="115"/>
    </row>
    <row r="175" spans="1:1">
      <c r="A175" s="115"/>
    </row>
    <row r="176" spans="1:1">
      <c r="A176" s="115"/>
    </row>
    <row r="177" spans="1:1">
      <c r="A177" s="115"/>
    </row>
    <row r="178" spans="1:1">
      <c r="A178" s="115"/>
    </row>
    <row r="179" spans="1:1">
      <c r="A179" s="115"/>
    </row>
    <row r="180" spans="1:1">
      <c r="A180" s="115"/>
    </row>
    <row r="181" spans="1:1">
      <c r="A181" s="115"/>
    </row>
    <row r="182" spans="1:1">
      <c r="A182" s="115"/>
    </row>
    <row r="183" spans="1:1">
      <c r="A183" s="115"/>
    </row>
    <row r="184" spans="1:1">
      <c r="A184" s="115"/>
    </row>
    <row r="185" spans="1:1">
      <c r="A185" s="115"/>
    </row>
    <row r="186" spans="1:1">
      <c r="A186" s="115"/>
    </row>
    <row r="187" spans="1:1">
      <c r="A187" s="115"/>
    </row>
    <row r="188" spans="1:1">
      <c r="A188" s="115"/>
    </row>
    <row r="189" spans="1:1">
      <c r="A189" s="115"/>
    </row>
    <row r="190" spans="1:1">
      <c r="A190" s="115"/>
    </row>
    <row r="191" spans="1:1">
      <c r="A191" s="115"/>
    </row>
    <row r="192" spans="1:1">
      <c r="A192" s="115"/>
    </row>
    <row r="193" spans="1:1">
      <c r="A193" s="115"/>
    </row>
    <row r="194" spans="1:1">
      <c r="A194" s="115"/>
    </row>
    <row r="195" spans="1:1">
      <c r="A195" s="115"/>
    </row>
    <row r="196" spans="1:1">
      <c r="A196" s="115"/>
    </row>
    <row r="197" spans="1:1">
      <c r="A197" s="115"/>
    </row>
    <row r="198" spans="1:1">
      <c r="A198" s="115"/>
    </row>
    <row r="199" spans="1:1">
      <c r="A199" s="115"/>
    </row>
    <row r="200" spans="1:1">
      <c r="A200" s="115"/>
    </row>
    <row r="201" spans="1:1">
      <c r="A201" s="115"/>
    </row>
    <row r="202" spans="1:1">
      <c r="A202" s="115"/>
    </row>
    <row r="203" spans="1:1">
      <c r="A203" s="115"/>
    </row>
    <row r="204" spans="1:1">
      <c r="A204" s="115"/>
    </row>
    <row r="205" spans="1:1">
      <c r="A205" s="115"/>
    </row>
    <row r="206" spans="1:1">
      <c r="A206" s="115"/>
    </row>
    <row r="207" spans="1:1">
      <c r="A207" s="115"/>
    </row>
    <row r="208" spans="1:1">
      <c r="A208" s="115"/>
    </row>
    <row r="209" spans="1:1">
      <c r="A209" s="115"/>
    </row>
    <row r="210" spans="1:1">
      <c r="A210" s="115"/>
    </row>
    <row r="211" spans="1:1">
      <c r="A211" s="115"/>
    </row>
    <row r="212" spans="1:1">
      <c r="A212" s="115"/>
    </row>
    <row r="213" spans="1:1">
      <c r="A213" s="115"/>
    </row>
    <row r="214" spans="1:1">
      <c r="A214" s="115"/>
    </row>
    <row r="215" spans="1:1">
      <c r="A215" s="115"/>
    </row>
    <row r="216" spans="1:1">
      <c r="A216" s="115"/>
    </row>
    <row r="217" spans="1:1">
      <c r="A217" s="115"/>
    </row>
    <row r="218" spans="1:1">
      <c r="A218" s="115"/>
    </row>
    <row r="219" spans="1:1">
      <c r="A219" s="115"/>
    </row>
    <row r="220" spans="1:1">
      <c r="A220" s="115"/>
    </row>
    <row r="221" spans="1:1">
      <c r="A221" s="115"/>
    </row>
    <row r="222" spans="1:1">
      <c r="A222" s="115"/>
    </row>
    <row r="223" spans="1:1">
      <c r="A223" s="115"/>
    </row>
    <row r="224" spans="1:1">
      <c r="A224" s="115"/>
    </row>
    <row r="225" spans="1:1">
      <c r="A225" s="115"/>
    </row>
    <row r="226" spans="1:1">
      <c r="A226" s="115"/>
    </row>
    <row r="227" spans="1:1">
      <c r="A227" s="115"/>
    </row>
    <row r="228" spans="1:1">
      <c r="A228" s="115"/>
    </row>
    <row r="229" spans="1:1">
      <c r="A229" s="115"/>
    </row>
    <row r="230" spans="1:1">
      <c r="A230" s="115"/>
    </row>
    <row r="231" spans="1:1">
      <c r="A231" s="115"/>
    </row>
    <row r="232" spans="1:1">
      <c r="A232" s="115"/>
    </row>
    <row r="233" spans="1:1">
      <c r="A233" s="115"/>
    </row>
    <row r="234" spans="1:1">
      <c r="A234" s="115"/>
    </row>
    <row r="235" spans="1:1">
      <c r="A235" s="115"/>
    </row>
    <row r="236" spans="1:1">
      <c r="A236" s="115"/>
    </row>
    <row r="237" spans="1:1">
      <c r="A237" s="115"/>
    </row>
    <row r="238" spans="1:1">
      <c r="A238" s="115"/>
    </row>
    <row r="239" spans="1:1">
      <c r="A239" s="115"/>
    </row>
    <row r="240" spans="1:1">
      <c r="A240" s="115"/>
    </row>
    <row r="241" spans="1:1">
      <c r="A241" s="115"/>
    </row>
    <row r="242" spans="1:1">
      <c r="A242" s="115"/>
    </row>
    <row r="243" spans="1:1">
      <c r="A243" s="115"/>
    </row>
    <row r="244" spans="1:1">
      <c r="A244" s="115"/>
    </row>
    <row r="245" spans="1:1">
      <c r="A245" s="115"/>
    </row>
    <row r="246" spans="1:1">
      <c r="A246" s="115"/>
    </row>
    <row r="247" spans="1:1">
      <c r="A247" s="115"/>
    </row>
    <row r="248" spans="1:1">
      <c r="A248" s="115"/>
    </row>
    <row r="249" spans="1:1">
      <c r="A249" s="115"/>
    </row>
    <row r="250" spans="1:1">
      <c r="A250" s="115"/>
    </row>
    <row r="251" spans="1:1">
      <c r="A251" s="115"/>
    </row>
    <row r="252" spans="1:1">
      <c r="A252" s="115"/>
    </row>
    <row r="253" spans="1:1">
      <c r="A253" s="115"/>
    </row>
    <row r="254" spans="1:1">
      <c r="A254" s="115"/>
    </row>
    <row r="255" spans="1:1">
      <c r="A255" s="115"/>
    </row>
    <row r="256" spans="1:1">
      <c r="A256" s="115"/>
    </row>
    <row r="257" spans="1:1">
      <c r="A257" s="115"/>
    </row>
    <row r="258" spans="1:1">
      <c r="A258" s="115"/>
    </row>
    <row r="259" spans="1:1">
      <c r="A259" s="115"/>
    </row>
    <row r="260" spans="1:1">
      <c r="A260" s="115"/>
    </row>
    <row r="261" spans="1:1">
      <c r="A261" s="115"/>
    </row>
    <row r="262" spans="1:1">
      <c r="A262" s="115"/>
    </row>
    <row r="263" spans="1:1">
      <c r="A263" s="115"/>
    </row>
    <row r="264" spans="1:1">
      <c r="A264" s="115"/>
    </row>
    <row r="265" spans="1:1">
      <c r="A265" s="115"/>
    </row>
    <row r="266" spans="1:1">
      <c r="A266" s="115"/>
    </row>
    <row r="267" spans="1:1">
      <c r="A267" s="115"/>
    </row>
    <row r="268" spans="1:1">
      <c r="A268" s="115"/>
    </row>
    <row r="269" spans="1:1">
      <c r="A269" s="115"/>
    </row>
    <row r="270" spans="1:1">
      <c r="A270" s="115"/>
    </row>
    <row r="271" spans="1:1">
      <c r="A271" s="115"/>
    </row>
    <row r="272" spans="1:1">
      <c r="A272" s="115"/>
    </row>
    <row r="273" spans="1:1">
      <c r="A273" s="115"/>
    </row>
    <row r="274" spans="1:1">
      <c r="A274" s="115"/>
    </row>
    <row r="275" spans="1:1">
      <c r="A275" s="115"/>
    </row>
    <row r="276" spans="1:1">
      <c r="A276" s="115"/>
    </row>
    <row r="277" spans="1:1">
      <c r="A277" s="115"/>
    </row>
    <row r="278" spans="1:1">
      <c r="A278" s="115"/>
    </row>
    <row r="279" spans="1:1">
      <c r="A279" s="115"/>
    </row>
    <row r="280" spans="1:1">
      <c r="A280" s="115"/>
    </row>
    <row r="281" spans="1:1">
      <c r="A281" s="115"/>
    </row>
    <row r="282" spans="1:1">
      <c r="A282" s="115"/>
    </row>
    <row r="283" spans="1:1">
      <c r="A283" s="115"/>
    </row>
    <row r="284" spans="1:1">
      <c r="A284" s="115"/>
    </row>
    <row r="285" spans="1:1">
      <c r="A285" s="115"/>
    </row>
    <row r="286" spans="1:1">
      <c r="A286" s="115"/>
    </row>
    <row r="287" spans="1:1">
      <c r="A287" s="115"/>
    </row>
    <row r="288" spans="1:1">
      <c r="A288" s="115"/>
    </row>
    <row r="289" spans="1:1">
      <c r="A289" s="115"/>
    </row>
    <row r="290" spans="1:1">
      <c r="A290" s="115"/>
    </row>
    <row r="291" spans="1:1">
      <c r="A291" s="115"/>
    </row>
    <row r="292" spans="1:1">
      <c r="A292" s="115"/>
    </row>
    <row r="293" spans="1:1">
      <c r="A293" s="115"/>
    </row>
    <row r="294" spans="1:1">
      <c r="A294" s="115"/>
    </row>
    <row r="295" spans="1:1">
      <c r="A295" s="115"/>
    </row>
    <row r="296" spans="1:1">
      <c r="A296" s="115"/>
    </row>
    <row r="297" spans="1:1">
      <c r="A297" s="115"/>
    </row>
    <row r="298" spans="1:1">
      <c r="A298" s="115"/>
    </row>
    <row r="299" spans="1:1">
      <c r="A299" s="115"/>
    </row>
    <row r="300" spans="1:1">
      <c r="A300" s="115"/>
    </row>
    <row r="301" spans="1:1">
      <c r="A301" s="115"/>
    </row>
    <row r="302" spans="1:1">
      <c r="A302" s="115"/>
    </row>
    <row r="303" spans="1:1">
      <c r="A303" s="115"/>
    </row>
    <row r="304" spans="1:1">
      <c r="A304" s="115"/>
    </row>
    <row r="305" spans="1:1">
      <c r="A305" s="115"/>
    </row>
    <row r="306" spans="1:1">
      <c r="A306" s="115"/>
    </row>
    <row r="307" spans="1:1">
      <c r="A307" s="115"/>
    </row>
    <row r="308" spans="1:1">
      <c r="A308" s="115"/>
    </row>
    <row r="309" spans="1:1">
      <c r="A309" s="115"/>
    </row>
    <row r="310" spans="1:1">
      <c r="A310" s="115"/>
    </row>
    <row r="311" spans="1:1">
      <c r="A311" s="115"/>
    </row>
    <row r="312" spans="1:1">
      <c r="A312" s="115"/>
    </row>
    <row r="313" spans="1:1">
      <c r="A313" s="115"/>
    </row>
    <row r="314" spans="1:1">
      <c r="A314" s="115"/>
    </row>
    <row r="315" spans="1:1">
      <c r="A315" s="115"/>
    </row>
    <row r="316" spans="1:1">
      <c r="A316" s="115"/>
    </row>
    <row r="317" spans="1:1">
      <c r="A317" s="115"/>
    </row>
    <row r="318" spans="1:1">
      <c r="A318" s="115"/>
    </row>
    <row r="319" spans="1:1">
      <c r="A319" s="115"/>
    </row>
    <row r="320" spans="1:1">
      <c r="A320" s="115"/>
    </row>
    <row r="321" spans="1:1">
      <c r="A321" s="115"/>
    </row>
    <row r="322" spans="1:1">
      <c r="A322" s="115"/>
    </row>
    <row r="323" spans="1:1">
      <c r="A323" s="115"/>
    </row>
    <row r="324" spans="1:1">
      <c r="A324" s="115"/>
    </row>
    <row r="325" spans="1:1">
      <c r="A325" s="115"/>
    </row>
    <row r="326" spans="1:1">
      <c r="A326" s="115"/>
    </row>
    <row r="327" spans="1:1">
      <c r="A327" s="115"/>
    </row>
    <row r="328" spans="1:1">
      <c r="A328" s="115"/>
    </row>
    <row r="329" spans="1:1">
      <c r="A329" s="115"/>
    </row>
    <row r="330" spans="1:1">
      <c r="A330" s="115"/>
    </row>
    <row r="331" spans="1:1">
      <c r="A331" s="115"/>
    </row>
    <row r="332" spans="1:1">
      <c r="A332" s="115"/>
    </row>
    <row r="333" spans="1:1">
      <c r="A333" s="115"/>
    </row>
    <row r="334" spans="1:1">
      <c r="A334" s="115"/>
    </row>
    <row r="335" spans="1:1">
      <c r="A335" s="115"/>
    </row>
    <row r="336" spans="1:1">
      <c r="A336" s="115"/>
    </row>
    <row r="337" spans="1:1">
      <c r="A337" s="115"/>
    </row>
    <row r="338" spans="1:1">
      <c r="A338" s="115"/>
    </row>
    <row r="339" spans="1:1">
      <c r="A339" s="115"/>
    </row>
    <row r="340" spans="1:1">
      <c r="A340" s="115"/>
    </row>
    <row r="341" spans="1:1">
      <c r="A341" s="115"/>
    </row>
    <row r="342" spans="1:1">
      <c r="A342" s="115"/>
    </row>
    <row r="343" spans="1:1">
      <c r="A343" s="115"/>
    </row>
    <row r="344" spans="1:1">
      <c r="A344" s="115"/>
    </row>
    <row r="345" spans="1:1">
      <c r="A345" s="115"/>
    </row>
    <row r="346" spans="1:1">
      <c r="A346" s="115"/>
    </row>
    <row r="347" spans="1:1">
      <c r="A347" s="115"/>
    </row>
    <row r="348" spans="1:1">
      <c r="A348" s="115"/>
    </row>
    <row r="349" spans="1:1">
      <c r="A349" s="115"/>
    </row>
    <row r="350" spans="1:1">
      <c r="A350" s="115"/>
    </row>
    <row r="351" spans="1:1">
      <c r="A351" s="115"/>
    </row>
    <row r="352" spans="1:1">
      <c r="A352" s="115"/>
    </row>
    <row r="353" spans="1:1">
      <c r="A353" s="115"/>
    </row>
    <row r="354" spans="1:1">
      <c r="A354" s="115"/>
    </row>
    <row r="355" spans="1:1">
      <c r="A355" s="115"/>
    </row>
    <row r="356" spans="1:1">
      <c r="A356" s="115"/>
    </row>
    <row r="357" spans="1:1">
      <c r="A357" s="115"/>
    </row>
    <row r="358" spans="1:1">
      <c r="A358" s="115"/>
    </row>
    <row r="359" spans="1:1">
      <c r="A359" s="115"/>
    </row>
    <row r="360" spans="1:1">
      <c r="A360" s="115"/>
    </row>
    <row r="361" spans="1:1">
      <c r="A361" s="115"/>
    </row>
    <row r="362" spans="1:1">
      <c r="A362" s="115"/>
    </row>
    <row r="363" spans="1:1">
      <c r="A363" s="115"/>
    </row>
    <row r="364" spans="1:1">
      <c r="A364" s="115"/>
    </row>
    <row r="365" spans="1:1">
      <c r="A365" s="115"/>
    </row>
    <row r="366" spans="1:1">
      <c r="A366" s="115"/>
    </row>
    <row r="367" spans="1:1">
      <c r="A367" s="115"/>
    </row>
    <row r="368" spans="1:1">
      <c r="A368" s="115"/>
    </row>
    <row r="369" spans="1:1">
      <c r="A369" s="115"/>
    </row>
    <row r="370" spans="1:1">
      <c r="A370" s="115"/>
    </row>
    <row r="371" spans="1:1">
      <c r="A371" s="115"/>
    </row>
    <row r="372" spans="1:1">
      <c r="A372" s="115"/>
    </row>
    <row r="373" spans="1:1">
      <c r="A373" s="115"/>
    </row>
    <row r="374" spans="1:1">
      <c r="A374" s="115"/>
    </row>
    <row r="375" spans="1:1">
      <c r="A375" s="115"/>
    </row>
    <row r="376" spans="1:1">
      <c r="A376" s="115"/>
    </row>
    <row r="377" spans="1:1">
      <c r="A377" s="115"/>
    </row>
    <row r="378" spans="1:1">
      <c r="A378" s="115"/>
    </row>
    <row r="379" spans="1:1">
      <c r="A379" s="115"/>
    </row>
    <row r="380" spans="1:1">
      <c r="A380" s="115"/>
    </row>
    <row r="381" spans="1:1">
      <c r="A381" s="115"/>
    </row>
    <row r="382" spans="1:1">
      <c r="A382" s="115"/>
    </row>
    <row r="383" spans="1:1">
      <c r="A383" s="115"/>
    </row>
    <row r="384" spans="1:1">
      <c r="A384" s="115"/>
    </row>
    <row r="385" spans="1:1">
      <c r="A385" s="115"/>
    </row>
    <row r="386" spans="1:1">
      <c r="A386" s="115"/>
    </row>
    <row r="387" spans="1:1">
      <c r="A387" s="115"/>
    </row>
    <row r="388" spans="1:1">
      <c r="A388" s="115"/>
    </row>
    <row r="389" spans="1:1">
      <c r="A389" s="115"/>
    </row>
    <row r="390" spans="1:1">
      <c r="A390" s="115"/>
    </row>
    <row r="391" spans="1:1">
      <c r="A391" s="115"/>
    </row>
    <row r="392" spans="1:1">
      <c r="A392" s="115"/>
    </row>
    <row r="393" spans="1:1">
      <c r="A393" s="115"/>
    </row>
    <row r="394" spans="1:1">
      <c r="A394" s="115"/>
    </row>
    <row r="395" spans="1:1">
      <c r="A395" s="115"/>
    </row>
    <row r="396" spans="1:1">
      <c r="A396" s="115"/>
    </row>
    <row r="397" spans="1:1">
      <c r="A397" s="115"/>
    </row>
    <row r="398" spans="1:1">
      <c r="A398" s="115"/>
    </row>
    <row r="399" spans="1:1">
      <c r="A399" s="115"/>
    </row>
    <row r="400" spans="1:1">
      <c r="A400" s="115"/>
    </row>
    <row r="401" spans="1:1">
      <c r="A401" s="115"/>
    </row>
    <row r="402" spans="1:1">
      <c r="A402" s="115"/>
    </row>
    <row r="403" spans="1:1">
      <c r="A403" s="115"/>
    </row>
    <row r="404" spans="1:1">
      <c r="A404" s="115"/>
    </row>
    <row r="405" spans="1:1">
      <c r="A405" s="115"/>
    </row>
    <row r="406" spans="1:1">
      <c r="A406" s="115"/>
    </row>
    <row r="407" spans="1:1">
      <c r="A407" s="115"/>
    </row>
    <row r="408" spans="1:1">
      <c r="A408" s="115"/>
    </row>
    <row r="409" spans="1:1">
      <c r="A409" s="115"/>
    </row>
    <row r="410" spans="1:1">
      <c r="A410" s="115"/>
    </row>
    <row r="411" spans="1:1">
      <c r="A411" s="115"/>
    </row>
    <row r="412" spans="1:1">
      <c r="A412" s="115"/>
    </row>
    <row r="413" spans="1:1">
      <c r="A413" s="115"/>
    </row>
    <row r="414" spans="1:1">
      <c r="A414" s="115"/>
    </row>
    <row r="415" spans="1:1">
      <c r="A415" s="115"/>
    </row>
    <row r="416" spans="1:1">
      <c r="A416" s="115"/>
    </row>
    <row r="417" spans="1:1">
      <c r="A417" s="115"/>
    </row>
    <row r="418" spans="1:1">
      <c r="A418" s="115"/>
    </row>
    <row r="419" spans="1:1">
      <c r="A419" s="115"/>
    </row>
    <row r="420" spans="1:1">
      <c r="A420" s="115"/>
    </row>
    <row r="421" spans="1:1">
      <c r="A421" s="115"/>
    </row>
    <row r="422" spans="1:1">
      <c r="A422" s="115"/>
    </row>
    <row r="423" spans="1:1">
      <c r="A423" s="115"/>
    </row>
    <row r="424" spans="1:1">
      <c r="A424" s="115"/>
    </row>
    <row r="425" spans="1:1">
      <c r="A425" s="115"/>
    </row>
    <row r="426" spans="1:1">
      <c r="A426" s="115"/>
    </row>
    <row r="427" spans="1:1">
      <c r="A427" s="115"/>
    </row>
    <row r="428" spans="1:1">
      <c r="A428" s="115"/>
    </row>
    <row r="429" spans="1:1">
      <c r="A429" s="115"/>
    </row>
    <row r="430" spans="1:1">
      <c r="A430" s="115"/>
    </row>
    <row r="431" spans="1:1">
      <c r="A431" s="115"/>
    </row>
    <row r="432" spans="1:1">
      <c r="A432" s="115"/>
    </row>
    <row r="433" spans="1:1">
      <c r="A433" s="115"/>
    </row>
    <row r="434" spans="1:1">
      <c r="A434" s="115"/>
    </row>
    <row r="435" spans="1:1">
      <c r="A435" s="115"/>
    </row>
    <row r="436" spans="1:1">
      <c r="A436" s="115"/>
    </row>
    <row r="437" spans="1:1">
      <c r="A437" s="115"/>
    </row>
    <row r="438" spans="1:1">
      <c r="A438" s="115"/>
    </row>
    <row r="439" spans="1:1">
      <c r="A439" s="115"/>
    </row>
    <row r="440" spans="1:1">
      <c r="A440" s="115"/>
    </row>
    <row r="441" spans="1:1">
      <c r="A441" s="115"/>
    </row>
    <row r="442" spans="1:1">
      <c r="A442" s="115"/>
    </row>
    <row r="443" spans="1:1">
      <c r="A443" s="115"/>
    </row>
    <row r="444" spans="1:1">
      <c r="A444" s="115"/>
    </row>
    <row r="445" spans="1:1">
      <c r="A445" s="115"/>
    </row>
    <row r="446" spans="1:1">
      <c r="A446" s="115"/>
    </row>
    <row r="447" spans="1:1">
      <c r="A447" s="115"/>
    </row>
    <row r="448" spans="1:1">
      <c r="A448" s="115"/>
    </row>
    <row r="449" spans="1:1">
      <c r="A449" s="115"/>
    </row>
    <row r="450" spans="1:1">
      <c r="A450" s="115"/>
    </row>
    <row r="451" spans="1:1">
      <c r="A451" s="115"/>
    </row>
    <row r="452" spans="1:1">
      <c r="A452" s="115"/>
    </row>
    <row r="453" spans="1:1">
      <c r="A453" s="115"/>
    </row>
    <row r="454" spans="1:1">
      <c r="A454" s="115"/>
    </row>
    <row r="455" spans="1:1">
      <c r="A455" s="115"/>
    </row>
    <row r="456" spans="1:1">
      <c r="A456" s="115"/>
    </row>
    <row r="457" spans="1:1">
      <c r="A457" s="115"/>
    </row>
    <row r="458" spans="1:1">
      <c r="A458" s="115"/>
    </row>
    <row r="459" spans="1:1">
      <c r="A459" s="115"/>
    </row>
    <row r="460" spans="1:1">
      <c r="A460" s="115"/>
    </row>
    <row r="461" spans="1:1">
      <c r="A461" s="115"/>
    </row>
    <row r="462" spans="1:1">
      <c r="A462" s="115"/>
    </row>
    <row r="463" spans="1:1">
      <c r="A463" s="115"/>
    </row>
    <row r="464" spans="1:1">
      <c r="A464" s="115"/>
    </row>
    <row r="465" spans="1:1">
      <c r="A465" s="115"/>
    </row>
    <row r="466" spans="1:1">
      <c r="A466" s="115"/>
    </row>
    <row r="467" spans="1:1">
      <c r="A467" s="115"/>
    </row>
    <row r="468" spans="1:1">
      <c r="A468" s="115"/>
    </row>
    <row r="469" spans="1:1">
      <c r="A469" s="115"/>
    </row>
    <row r="470" spans="1:1">
      <c r="A470" s="115"/>
    </row>
    <row r="471" spans="1:1">
      <c r="A471" s="115"/>
    </row>
    <row r="472" spans="1:1">
      <c r="A472" s="115"/>
    </row>
    <row r="473" spans="1:1">
      <c r="A473" s="115"/>
    </row>
    <row r="474" spans="1:1">
      <c r="A474" s="115"/>
    </row>
    <row r="475" spans="1:1">
      <c r="A475" s="115"/>
    </row>
    <row r="476" spans="1:1">
      <c r="A476" s="115"/>
    </row>
    <row r="477" spans="1:1">
      <c r="A477" s="115"/>
    </row>
    <row r="478" spans="1:1">
      <c r="A478" s="115"/>
    </row>
    <row r="479" spans="1:1">
      <c r="A479" s="115"/>
    </row>
    <row r="480" spans="1:1">
      <c r="A480" s="115"/>
    </row>
    <row r="481" spans="1:1">
      <c r="A481" s="115"/>
    </row>
    <row r="482" spans="1:1">
      <c r="A482" s="115"/>
    </row>
    <row r="483" spans="1:1">
      <c r="A483" s="115"/>
    </row>
    <row r="484" spans="1:1">
      <c r="A484" s="115"/>
    </row>
    <row r="485" spans="1:1">
      <c r="A485" s="115"/>
    </row>
    <row r="486" spans="1:1">
      <c r="A486" s="115"/>
    </row>
    <row r="487" spans="1:1">
      <c r="A487" s="115"/>
    </row>
    <row r="488" spans="1:1">
      <c r="A488" s="115"/>
    </row>
    <row r="489" spans="1:1">
      <c r="A489" s="115"/>
    </row>
    <row r="490" spans="1:1">
      <c r="A490" s="115"/>
    </row>
    <row r="491" spans="1:1">
      <c r="A491" s="115"/>
    </row>
    <row r="492" spans="1:1">
      <c r="A492" s="115"/>
    </row>
    <row r="493" spans="1:1">
      <c r="A493" s="115"/>
    </row>
    <row r="494" spans="1:1">
      <c r="A494" s="115"/>
    </row>
    <row r="495" spans="1:1">
      <c r="A495" s="115"/>
    </row>
    <row r="496" spans="1:1">
      <c r="A496" s="115"/>
    </row>
    <row r="497" spans="1:1">
      <c r="A497" s="115"/>
    </row>
    <row r="498" spans="1:1">
      <c r="A498" s="115"/>
    </row>
    <row r="499" spans="1:1">
      <c r="A499" s="115"/>
    </row>
    <row r="500" spans="1:1">
      <c r="A500" s="115"/>
    </row>
    <row r="501" spans="1:1">
      <c r="A501" s="115"/>
    </row>
    <row r="502" spans="1:1">
      <c r="A502" s="115"/>
    </row>
    <row r="503" spans="1:1">
      <c r="A503" s="115"/>
    </row>
    <row r="504" spans="1:1">
      <c r="A504" s="115"/>
    </row>
    <row r="505" spans="1:1">
      <c r="A505" s="115"/>
    </row>
    <row r="506" spans="1:1">
      <c r="A506" s="115"/>
    </row>
    <row r="507" spans="1:1">
      <c r="A507" s="115"/>
    </row>
    <row r="508" spans="1:1">
      <c r="A508" s="115"/>
    </row>
    <row r="509" spans="1:1">
      <c r="A509" s="115"/>
    </row>
    <row r="510" spans="1:1">
      <c r="A510" s="115"/>
    </row>
    <row r="511" spans="1:1">
      <c r="A511" s="115"/>
    </row>
    <row r="512" spans="1:1">
      <c r="A512" s="115"/>
    </row>
    <row r="513" spans="1:1">
      <c r="A513" s="115"/>
    </row>
    <row r="514" spans="1:1">
      <c r="A514" s="115"/>
    </row>
    <row r="515" spans="1:1">
      <c r="A515" s="115"/>
    </row>
    <row r="516" spans="1:1">
      <c r="A516" s="115"/>
    </row>
    <row r="517" spans="1:1">
      <c r="A517" s="115"/>
    </row>
    <row r="518" spans="1:1">
      <c r="A518" s="115"/>
    </row>
    <row r="519" spans="1:1">
      <c r="A519" s="115"/>
    </row>
    <row r="520" spans="1:1">
      <c r="A520" s="115"/>
    </row>
    <row r="521" spans="1:1">
      <c r="A521" s="115"/>
    </row>
    <row r="522" spans="1:1">
      <c r="A522" s="115"/>
    </row>
    <row r="523" spans="1:1">
      <c r="A523" s="115"/>
    </row>
    <row r="524" spans="1:1">
      <c r="A524" s="115"/>
    </row>
    <row r="525" spans="1:1">
      <c r="A525" s="115"/>
    </row>
    <row r="526" spans="1:1">
      <c r="A526" s="115"/>
    </row>
    <row r="527" spans="1:1">
      <c r="A527" s="115"/>
    </row>
    <row r="528" spans="1:1">
      <c r="A528" s="115"/>
    </row>
    <row r="529" spans="1:1">
      <c r="A529" s="115"/>
    </row>
    <row r="530" spans="1:1">
      <c r="A530" s="115"/>
    </row>
    <row r="531" spans="1:1">
      <c r="A531" s="115"/>
    </row>
    <row r="532" spans="1:1">
      <c r="A532" s="115"/>
    </row>
    <row r="533" spans="1:1">
      <c r="A533" s="115"/>
    </row>
    <row r="534" spans="1:1">
      <c r="A534" s="115"/>
    </row>
    <row r="535" spans="1:1">
      <c r="A535" s="115"/>
    </row>
    <row r="536" spans="1:1">
      <c r="A536" s="115"/>
    </row>
    <row r="537" spans="1:1">
      <c r="A537" s="115"/>
    </row>
    <row r="538" spans="1:1">
      <c r="A538" s="115"/>
    </row>
    <row r="539" spans="1:1">
      <c r="A539" s="115"/>
    </row>
    <row r="540" spans="1:1">
      <c r="A540" s="115"/>
    </row>
    <row r="541" spans="1:1">
      <c r="A541" s="115"/>
    </row>
    <row r="542" spans="1:1">
      <c r="A542" s="115"/>
    </row>
    <row r="543" spans="1:1">
      <c r="A543" s="115"/>
    </row>
    <row r="544" spans="1:1">
      <c r="A544" s="115"/>
    </row>
    <row r="545" spans="1:1">
      <c r="A545" s="115"/>
    </row>
    <row r="546" spans="1:1">
      <c r="A546" s="115"/>
    </row>
    <row r="547" spans="1:1">
      <c r="A547" s="115"/>
    </row>
    <row r="548" spans="1:1">
      <c r="A548" s="115"/>
    </row>
    <row r="549" spans="1:1">
      <c r="A549" s="115"/>
    </row>
    <row r="550" spans="1:1">
      <c r="A550" s="115"/>
    </row>
    <row r="551" spans="1:1">
      <c r="A551" s="115"/>
    </row>
    <row r="552" spans="1:1">
      <c r="A552" s="115"/>
    </row>
    <row r="553" spans="1:1">
      <c r="A553" s="115"/>
    </row>
    <row r="554" spans="1:1">
      <c r="A554" s="115"/>
    </row>
    <row r="555" spans="1:1">
      <c r="A555" s="115"/>
    </row>
    <row r="556" spans="1:1">
      <c r="A556" s="115"/>
    </row>
    <row r="557" spans="1:1">
      <c r="A557" s="115"/>
    </row>
    <row r="558" spans="1:1">
      <c r="A558" s="115"/>
    </row>
    <row r="559" spans="1:1">
      <c r="A559" s="115"/>
    </row>
    <row r="560" spans="1:1">
      <c r="A560" s="115"/>
    </row>
    <row r="561" spans="1:1">
      <c r="A561" s="115"/>
    </row>
    <row r="562" spans="1:1">
      <c r="A562" s="115"/>
    </row>
    <row r="563" spans="1:1">
      <c r="A563" s="115"/>
    </row>
    <row r="564" spans="1:1">
      <c r="A564" s="115"/>
    </row>
    <row r="565" spans="1:1">
      <c r="A565" s="115"/>
    </row>
    <row r="566" spans="1:1">
      <c r="A566" s="115"/>
    </row>
    <row r="567" spans="1:1">
      <c r="A567" s="115"/>
    </row>
    <row r="568" spans="1:1">
      <c r="A568" s="115"/>
    </row>
    <row r="569" spans="1:1">
      <c r="A569" s="115"/>
    </row>
    <row r="570" spans="1:1">
      <c r="A570" s="115"/>
    </row>
    <row r="571" spans="1:1">
      <c r="A571" s="115"/>
    </row>
    <row r="572" spans="1:1">
      <c r="A572" s="115"/>
    </row>
    <row r="573" spans="1:1">
      <c r="A573" s="115"/>
    </row>
    <row r="574" spans="1:1">
      <c r="A574" s="115"/>
    </row>
    <row r="575" spans="1:1">
      <c r="A575" s="115"/>
    </row>
    <row r="576" spans="1:1">
      <c r="A576" s="115"/>
    </row>
    <row r="577" spans="1:1">
      <c r="A577" s="115"/>
    </row>
    <row r="578" spans="1:1">
      <c r="A578" s="115"/>
    </row>
    <row r="579" spans="1:1">
      <c r="A579" s="115"/>
    </row>
    <row r="580" spans="1:1">
      <c r="A580" s="115"/>
    </row>
    <row r="581" spans="1:1">
      <c r="A581" s="115"/>
    </row>
    <row r="582" spans="1:1">
      <c r="A582" s="115"/>
    </row>
    <row r="583" spans="1:1">
      <c r="A583" s="115"/>
    </row>
    <row r="584" spans="1:1">
      <c r="A584" s="115"/>
    </row>
    <row r="585" spans="1:1">
      <c r="A585" s="115"/>
    </row>
    <row r="586" spans="1:1">
      <c r="A586" s="115"/>
    </row>
    <row r="587" spans="1:1">
      <c r="A587" s="115"/>
    </row>
    <row r="588" spans="1:1">
      <c r="A588" s="115"/>
    </row>
    <row r="589" spans="1:1">
      <c r="A589" s="115"/>
    </row>
    <row r="590" spans="1:1">
      <c r="A590" s="115"/>
    </row>
    <row r="591" spans="1:1">
      <c r="A591" s="115"/>
    </row>
    <row r="592" spans="1:1">
      <c r="A592" s="115"/>
    </row>
    <row r="593" spans="1:1">
      <c r="A593" s="115"/>
    </row>
    <row r="594" spans="1:1">
      <c r="A594" s="115"/>
    </row>
    <row r="595" spans="1:1">
      <c r="A595" s="115"/>
    </row>
    <row r="596" spans="1:1">
      <c r="A596" s="115"/>
    </row>
    <row r="597" spans="1:1">
      <c r="A597" s="115"/>
    </row>
    <row r="598" spans="1:1">
      <c r="A598" s="115"/>
    </row>
    <row r="599" spans="1:1">
      <c r="A599" s="115"/>
    </row>
    <row r="600" spans="1:1">
      <c r="A600" s="115"/>
    </row>
    <row r="601" spans="1:1">
      <c r="A601" s="115"/>
    </row>
    <row r="602" spans="1:1">
      <c r="A602" s="115"/>
    </row>
    <row r="603" spans="1:1">
      <c r="A603" s="115"/>
    </row>
    <row r="604" spans="1:1">
      <c r="A604" s="115"/>
    </row>
    <row r="605" spans="1:1">
      <c r="A605" s="115"/>
    </row>
    <row r="606" spans="1:1">
      <c r="A606" s="115"/>
    </row>
    <row r="607" spans="1:1">
      <c r="A607" s="115"/>
    </row>
    <row r="608" spans="1:1">
      <c r="A608" s="115"/>
    </row>
    <row r="609" spans="1:1">
      <c r="A609" s="115"/>
    </row>
    <row r="610" spans="1:1">
      <c r="A610" s="115"/>
    </row>
    <row r="611" spans="1:1">
      <c r="A611" s="115"/>
    </row>
    <row r="612" spans="1:1">
      <c r="A612" s="115"/>
    </row>
    <row r="613" spans="1:1">
      <c r="A613" s="115"/>
    </row>
    <row r="614" spans="1:1">
      <c r="A614" s="115"/>
    </row>
    <row r="615" spans="1:1">
      <c r="A615" s="115"/>
    </row>
    <row r="616" spans="1:1">
      <c r="A616" s="115"/>
    </row>
    <row r="617" spans="1:1">
      <c r="A617" s="115"/>
    </row>
    <row r="618" spans="1:1">
      <c r="A618" s="115"/>
    </row>
    <row r="619" spans="1:1">
      <c r="A619" s="115"/>
    </row>
    <row r="620" spans="1:1">
      <c r="A620" s="115"/>
    </row>
    <row r="621" spans="1:1">
      <c r="A621" s="115"/>
    </row>
    <row r="622" spans="1:1">
      <c r="A622" s="115"/>
    </row>
    <row r="623" spans="1:1">
      <c r="A623" s="115"/>
    </row>
    <row r="624" spans="1:1">
      <c r="A624" s="115"/>
    </row>
    <row r="625" spans="1:1">
      <c r="A625" s="115"/>
    </row>
    <row r="626" spans="1:1">
      <c r="A626" s="115"/>
    </row>
    <row r="627" spans="1:1">
      <c r="A627" s="115"/>
    </row>
    <row r="628" spans="1:1">
      <c r="A628" s="115"/>
    </row>
    <row r="629" spans="1:1">
      <c r="A629" s="115"/>
    </row>
    <row r="630" spans="1:1">
      <c r="A630" s="115"/>
    </row>
    <row r="631" spans="1:1">
      <c r="A631" s="115"/>
    </row>
    <row r="632" spans="1:1">
      <c r="A632" s="115"/>
    </row>
    <row r="633" spans="1:1">
      <c r="A633" s="115"/>
    </row>
    <row r="634" spans="1:1">
      <c r="A634" s="115"/>
    </row>
    <row r="635" spans="1:1">
      <c r="A635" s="115"/>
    </row>
    <row r="636" spans="1:1">
      <c r="A636" s="115"/>
    </row>
    <row r="637" spans="1:1">
      <c r="A637" s="115"/>
    </row>
    <row r="638" spans="1:1">
      <c r="A638" s="115"/>
    </row>
    <row r="639" spans="1:1">
      <c r="A639" s="115"/>
    </row>
    <row r="640" spans="1:1">
      <c r="A640" s="115"/>
    </row>
    <row r="641" spans="1:1">
      <c r="A641" s="115"/>
    </row>
    <row r="642" spans="1:1">
      <c r="A642" s="115"/>
    </row>
    <row r="643" spans="1:1">
      <c r="A643" s="115"/>
    </row>
    <row r="644" spans="1:1">
      <c r="A644" s="115"/>
    </row>
    <row r="645" spans="1:1">
      <c r="A645" s="115"/>
    </row>
    <row r="646" spans="1:1">
      <c r="A646" s="115"/>
    </row>
    <row r="647" spans="1:1">
      <c r="A647" s="115"/>
    </row>
    <row r="648" spans="1:1">
      <c r="A648" s="115"/>
    </row>
    <row r="649" spans="1:1">
      <c r="A649" s="115"/>
    </row>
    <row r="650" spans="1:1">
      <c r="A650" s="115"/>
    </row>
    <row r="651" spans="1:1">
      <c r="A651" s="115"/>
    </row>
    <row r="652" spans="1:1">
      <c r="A652" s="115"/>
    </row>
    <row r="653" spans="1:1">
      <c r="A653" s="115"/>
    </row>
    <row r="654" spans="1:1">
      <c r="A654" s="115"/>
    </row>
    <row r="655" spans="1:1">
      <c r="A655" s="115"/>
    </row>
    <row r="656" spans="1:1">
      <c r="A656" s="115"/>
    </row>
    <row r="657" spans="1:1">
      <c r="A657" s="115"/>
    </row>
    <row r="658" spans="1:1">
      <c r="A658" s="115"/>
    </row>
    <row r="659" spans="1:1">
      <c r="A659" s="115"/>
    </row>
    <row r="660" spans="1:1">
      <c r="A660" s="115"/>
    </row>
    <row r="661" spans="1:1">
      <c r="A661" s="115"/>
    </row>
    <row r="662" spans="1:1">
      <c r="A662" s="115"/>
    </row>
    <row r="663" spans="1:1">
      <c r="A663" s="115"/>
    </row>
    <row r="664" spans="1:1">
      <c r="A664" s="115"/>
    </row>
    <row r="665" spans="1:1">
      <c r="A665" s="115"/>
    </row>
    <row r="666" spans="1:1">
      <c r="A666" s="115"/>
    </row>
    <row r="667" spans="1:1">
      <c r="A667" s="115"/>
    </row>
    <row r="668" spans="1:1">
      <c r="A668" s="115"/>
    </row>
    <row r="669" spans="1:1">
      <c r="A669" s="115"/>
    </row>
    <row r="670" spans="1:1">
      <c r="A670" s="115"/>
    </row>
    <row r="671" spans="1:1">
      <c r="A671" s="115"/>
    </row>
    <row r="672" spans="1:1">
      <c r="A672" s="115"/>
    </row>
    <row r="673" spans="1:1">
      <c r="A673" s="115"/>
    </row>
    <row r="674" spans="1:1">
      <c r="A674" s="115"/>
    </row>
    <row r="675" spans="1:1">
      <c r="A675" s="115"/>
    </row>
    <row r="676" spans="1:1">
      <c r="A676" s="115"/>
    </row>
    <row r="677" spans="1:1">
      <c r="A677" s="115"/>
    </row>
    <row r="678" spans="1:1">
      <c r="A678" s="115"/>
    </row>
    <row r="679" spans="1:1">
      <c r="A679" s="115"/>
    </row>
    <row r="680" spans="1:1">
      <c r="A680" s="115"/>
    </row>
    <row r="681" spans="1:1">
      <c r="A681" s="115"/>
    </row>
    <row r="682" spans="1:1">
      <c r="A682" s="115"/>
    </row>
    <row r="683" spans="1:1">
      <c r="A683" s="115"/>
    </row>
    <row r="684" spans="1:1">
      <c r="A684" s="115"/>
    </row>
    <row r="685" spans="1:1">
      <c r="A685" s="115"/>
    </row>
    <row r="686" spans="1:1">
      <c r="A686" s="115"/>
    </row>
    <row r="687" spans="1:1">
      <c r="A687" s="115"/>
    </row>
    <row r="688" spans="1:1">
      <c r="A688" s="115"/>
    </row>
    <row r="689" spans="1:1">
      <c r="A689" s="115"/>
    </row>
    <row r="690" spans="1:1">
      <c r="A690" s="115"/>
    </row>
    <row r="691" spans="1:1">
      <c r="A691" s="115"/>
    </row>
    <row r="692" spans="1:1">
      <c r="A692" s="115"/>
    </row>
    <row r="693" spans="1:1">
      <c r="A693" s="115"/>
    </row>
    <row r="694" spans="1:1">
      <c r="A694" s="115"/>
    </row>
    <row r="695" spans="1:1">
      <c r="A695" s="115"/>
    </row>
    <row r="696" spans="1:1">
      <c r="A696" s="115"/>
    </row>
    <row r="697" spans="1:1">
      <c r="A697" s="115"/>
    </row>
    <row r="698" spans="1:1">
      <c r="A698" s="115"/>
    </row>
    <row r="699" spans="1:1">
      <c r="A699" s="115"/>
    </row>
    <row r="700" spans="1:1">
      <c r="A700" s="115"/>
    </row>
    <row r="701" spans="1:1">
      <c r="A701" s="115"/>
    </row>
    <row r="702" spans="1:1">
      <c r="A702" s="115"/>
    </row>
    <row r="703" spans="1:1">
      <c r="A703" s="115"/>
    </row>
    <row r="704" spans="1:1">
      <c r="A704" s="115"/>
    </row>
    <row r="705" spans="1:1">
      <c r="A705" s="115"/>
    </row>
    <row r="706" spans="1:1">
      <c r="A706" s="115"/>
    </row>
    <row r="707" spans="1:1">
      <c r="A707" s="115"/>
    </row>
    <row r="708" spans="1:1">
      <c r="A708" s="115"/>
    </row>
    <row r="709" spans="1:1">
      <c r="A709" s="115"/>
    </row>
    <row r="710" spans="1:1">
      <c r="A710" s="115"/>
    </row>
    <row r="711" spans="1:1">
      <c r="A711" s="115"/>
    </row>
    <row r="712" spans="1:1">
      <c r="A712" s="115"/>
    </row>
    <row r="713" spans="1:1">
      <c r="A713" s="115"/>
    </row>
    <row r="714" spans="1:1">
      <c r="A714" s="115"/>
    </row>
    <row r="715" spans="1:1">
      <c r="A715" s="115"/>
    </row>
    <row r="716" spans="1:1">
      <c r="A716" s="115"/>
    </row>
    <row r="717" spans="1:1">
      <c r="A717" s="115"/>
    </row>
    <row r="718" spans="1:1">
      <c r="A718" s="115"/>
    </row>
    <row r="719" spans="1:1">
      <c r="A719" s="115"/>
    </row>
    <row r="720" spans="1:1">
      <c r="A720" s="115"/>
    </row>
    <row r="721" spans="1:1">
      <c r="A721" s="115"/>
    </row>
    <row r="722" spans="1:1">
      <c r="A722" s="115"/>
    </row>
    <row r="723" spans="1:1">
      <c r="A723" s="115"/>
    </row>
    <row r="724" spans="1:1">
      <c r="A724" s="115"/>
    </row>
    <row r="725" spans="1:1">
      <c r="A725" s="115"/>
    </row>
    <row r="726" spans="1:1">
      <c r="A726" s="115"/>
    </row>
    <row r="727" spans="1:1">
      <c r="A727" s="115"/>
    </row>
    <row r="728" spans="1:1">
      <c r="A728" s="115"/>
    </row>
    <row r="729" spans="1:1">
      <c r="A729" s="115"/>
    </row>
    <row r="730" spans="1:1">
      <c r="A730" s="115"/>
    </row>
    <row r="731" spans="1:1">
      <c r="A731" s="115"/>
    </row>
    <row r="732" spans="1:1">
      <c r="A732" s="115"/>
    </row>
    <row r="733" spans="1:1">
      <c r="A733" s="115"/>
    </row>
    <row r="734" spans="1:1">
      <c r="A734" s="115"/>
    </row>
    <row r="735" spans="1:1">
      <c r="A735" s="115"/>
    </row>
    <row r="736" spans="1:1">
      <c r="A736" s="115"/>
    </row>
    <row r="737" spans="1:1">
      <c r="A737" s="115"/>
    </row>
    <row r="738" spans="1:1">
      <c r="A738" s="115"/>
    </row>
    <row r="739" spans="1:1">
      <c r="A739" s="115"/>
    </row>
    <row r="740" spans="1:1">
      <c r="A740" s="115"/>
    </row>
    <row r="741" spans="1:1">
      <c r="A741" s="115"/>
    </row>
    <row r="742" spans="1:1">
      <c r="A742" s="115"/>
    </row>
    <row r="743" spans="1:1">
      <c r="A743" s="115"/>
    </row>
    <row r="744" spans="1:1">
      <c r="A744" s="115"/>
    </row>
    <row r="745" spans="1:1">
      <c r="A745" s="115"/>
    </row>
    <row r="746" spans="1:1">
      <c r="A746" s="115"/>
    </row>
    <row r="747" spans="1:1">
      <c r="A747" s="115"/>
    </row>
    <row r="748" spans="1:1">
      <c r="A748" s="115"/>
    </row>
    <row r="749" spans="1:1">
      <c r="A749" s="115"/>
    </row>
    <row r="750" spans="1:1">
      <c r="A750" s="115"/>
    </row>
    <row r="751" spans="1:1">
      <c r="A751" s="115"/>
    </row>
    <row r="752" spans="1:1">
      <c r="A752" s="115"/>
    </row>
    <row r="753" spans="1:1">
      <c r="A753" s="115"/>
    </row>
    <row r="754" spans="1:1">
      <c r="A754" s="115"/>
    </row>
    <row r="755" spans="1:1">
      <c r="A755" s="115"/>
    </row>
    <row r="756" spans="1:1">
      <c r="A756" s="115"/>
    </row>
    <row r="757" spans="1:1">
      <c r="A757" s="115"/>
    </row>
    <row r="758" spans="1:1">
      <c r="A758" s="115"/>
    </row>
    <row r="759" spans="1:1">
      <c r="A759" s="115"/>
    </row>
    <row r="760" spans="1:1">
      <c r="A760" s="115"/>
    </row>
    <row r="761" spans="1:1">
      <c r="A761" s="115"/>
    </row>
    <row r="762" spans="1:1">
      <c r="A762" s="115"/>
    </row>
    <row r="763" spans="1:1">
      <c r="A763" s="115"/>
    </row>
    <row r="764" spans="1:1">
      <c r="A764" s="115"/>
    </row>
    <row r="765" spans="1:1">
      <c r="A765" s="115"/>
    </row>
    <row r="766" spans="1:1">
      <c r="A766" s="115"/>
    </row>
    <row r="767" spans="1:1">
      <c r="A767" s="115"/>
    </row>
    <row r="768" spans="1:1">
      <c r="A768" s="115"/>
    </row>
    <row r="769" spans="1:1">
      <c r="A769" s="115"/>
    </row>
    <row r="770" spans="1:1">
      <c r="A770" s="115"/>
    </row>
    <row r="771" spans="1:1">
      <c r="A771" s="115"/>
    </row>
    <row r="772" spans="1:1">
      <c r="A772" s="115"/>
    </row>
    <row r="773" spans="1:1">
      <c r="A773" s="115"/>
    </row>
    <row r="774" spans="1:1">
      <c r="A774" s="115"/>
    </row>
    <row r="775" spans="1:1">
      <c r="A775" s="115"/>
    </row>
    <row r="776" spans="1:1">
      <c r="A776" s="115"/>
    </row>
    <row r="777" spans="1:1">
      <c r="A777" s="115"/>
    </row>
    <row r="778" spans="1:1">
      <c r="A778" s="115"/>
    </row>
    <row r="779" spans="1:1">
      <c r="A779" s="115"/>
    </row>
    <row r="780" spans="1:1">
      <c r="A780" s="115"/>
    </row>
    <row r="781" spans="1:1">
      <c r="A781" s="115"/>
    </row>
    <row r="782" spans="1:1">
      <c r="A782" s="115"/>
    </row>
    <row r="783" spans="1:1">
      <c r="A783" s="115"/>
    </row>
    <row r="784" spans="1:1">
      <c r="A784" s="115"/>
    </row>
    <row r="785" spans="1:1">
      <c r="A785" s="115"/>
    </row>
    <row r="786" spans="1:1">
      <c r="A786" s="115"/>
    </row>
    <row r="787" spans="1:1">
      <c r="A787" s="115"/>
    </row>
    <row r="788" spans="1:1">
      <c r="A788" s="115"/>
    </row>
    <row r="789" spans="1:1">
      <c r="A789" s="115"/>
    </row>
    <row r="790" spans="1:1">
      <c r="A790" s="115"/>
    </row>
    <row r="791" spans="1:1">
      <c r="A791" s="115"/>
    </row>
    <row r="792" spans="1:1">
      <c r="A792" s="115"/>
    </row>
    <row r="793" spans="1:1">
      <c r="A793" s="115"/>
    </row>
    <row r="794" spans="1:1">
      <c r="A794" s="115"/>
    </row>
    <row r="795" spans="1:1">
      <c r="A795" s="115"/>
    </row>
    <row r="796" spans="1:1">
      <c r="A796" s="115"/>
    </row>
    <row r="797" spans="1:1">
      <c r="A797" s="115"/>
    </row>
    <row r="798" spans="1:1">
      <c r="A798" s="115"/>
    </row>
    <row r="799" spans="1:1">
      <c r="A799" s="115"/>
    </row>
    <row r="800" spans="1:1">
      <c r="A800" s="115"/>
    </row>
    <row r="801" spans="1:1">
      <c r="A801" s="115"/>
    </row>
    <row r="802" spans="1:1">
      <c r="A802" s="115"/>
    </row>
    <row r="803" spans="1:1">
      <c r="A803" s="115"/>
    </row>
    <row r="804" spans="1:1">
      <c r="A804" s="115"/>
    </row>
    <row r="805" spans="1:1">
      <c r="A805" s="115"/>
    </row>
    <row r="806" spans="1:1">
      <c r="A806" s="115"/>
    </row>
    <row r="807" spans="1:1">
      <c r="A807" s="115"/>
    </row>
    <row r="808" spans="1:1">
      <c r="A808" s="115"/>
    </row>
    <row r="809" spans="1:1">
      <c r="A809" s="115"/>
    </row>
    <row r="810" spans="1:1">
      <c r="A810" s="115"/>
    </row>
    <row r="811" spans="1:1">
      <c r="A811" s="115"/>
    </row>
    <row r="812" spans="1:1">
      <c r="A812" s="115"/>
    </row>
    <row r="813" spans="1:1">
      <c r="A813" s="115"/>
    </row>
    <row r="814" spans="1:1">
      <c r="A814" s="115"/>
    </row>
    <row r="815" spans="1:1">
      <c r="A815" s="115"/>
    </row>
    <row r="816" spans="1:1">
      <c r="A816" s="115"/>
    </row>
    <row r="817" spans="1:1">
      <c r="A817" s="115"/>
    </row>
    <row r="818" spans="1:1">
      <c r="A818" s="115"/>
    </row>
    <row r="819" spans="1:1">
      <c r="A819" s="115"/>
    </row>
    <row r="820" spans="1:1">
      <c r="A820" s="115"/>
    </row>
    <row r="821" spans="1:1">
      <c r="A821" s="115"/>
    </row>
    <row r="822" spans="1:1">
      <c r="A822" s="115"/>
    </row>
    <row r="823" spans="1:1">
      <c r="A823" s="115"/>
    </row>
    <row r="824" spans="1:1">
      <c r="A824" s="115"/>
    </row>
    <row r="825" spans="1:1">
      <c r="A825" s="115"/>
    </row>
    <row r="826" spans="1:1">
      <c r="A826" s="115"/>
    </row>
    <row r="827" spans="1:1">
      <c r="A827" s="115"/>
    </row>
    <row r="828" spans="1:1">
      <c r="A828" s="115"/>
    </row>
    <row r="829" spans="1:1">
      <c r="A829" s="115"/>
    </row>
    <row r="830" spans="1:1">
      <c r="A830" s="115"/>
    </row>
    <row r="831" spans="1:1">
      <c r="A831" s="115"/>
    </row>
    <row r="832" spans="1:1">
      <c r="A832" s="115"/>
    </row>
    <row r="833" spans="1:1">
      <c r="A833" s="115"/>
    </row>
    <row r="834" spans="1:1">
      <c r="A834" s="115"/>
    </row>
    <row r="835" spans="1:1">
      <c r="A835" s="115"/>
    </row>
    <row r="836" spans="1:1">
      <c r="A836" s="115"/>
    </row>
    <row r="837" spans="1:1">
      <c r="A837" s="115"/>
    </row>
    <row r="838" spans="1:1">
      <c r="A838" s="115"/>
    </row>
    <row r="839" spans="1:1">
      <c r="A839" s="115"/>
    </row>
    <row r="840" spans="1:1">
      <c r="A840" s="115"/>
    </row>
    <row r="841" spans="1:1">
      <c r="A841" s="115"/>
    </row>
    <row r="842" spans="1:1">
      <c r="A842" s="115"/>
    </row>
    <row r="843" spans="1:1">
      <c r="A843" s="115"/>
    </row>
    <row r="844" spans="1:1">
      <c r="A844" s="115"/>
    </row>
    <row r="845" spans="1:1">
      <c r="A845" s="115"/>
    </row>
    <row r="846" spans="1:1">
      <c r="A846" s="115"/>
    </row>
    <row r="847" spans="1:1">
      <c r="A847" s="115"/>
    </row>
    <row r="848" spans="1:1">
      <c r="A848" s="115"/>
    </row>
    <row r="849" spans="1:1">
      <c r="A849" s="115"/>
    </row>
    <row r="850" spans="1:1">
      <c r="A850" s="115"/>
    </row>
    <row r="851" spans="1:1">
      <c r="A851" s="115"/>
    </row>
    <row r="852" spans="1:1">
      <c r="A852" s="115"/>
    </row>
    <row r="853" spans="1:1">
      <c r="A853" s="115"/>
    </row>
    <row r="854" spans="1:1">
      <c r="A854" s="115"/>
    </row>
    <row r="855" spans="1:1">
      <c r="A855" s="115"/>
    </row>
    <row r="856" spans="1:1">
      <c r="A856" s="115"/>
    </row>
    <row r="857" spans="1:1">
      <c r="A857" s="115"/>
    </row>
    <row r="858" spans="1:1">
      <c r="A858" s="115"/>
    </row>
    <row r="859" spans="1:1">
      <c r="A859" s="115"/>
    </row>
    <row r="860" spans="1:1">
      <c r="A860" s="115"/>
    </row>
    <row r="861" spans="1:1">
      <c r="A861" s="115"/>
    </row>
    <row r="862" spans="1:1">
      <c r="A862" s="115"/>
    </row>
    <row r="863" spans="1:1">
      <c r="A863" s="115"/>
    </row>
    <row r="864" spans="1:1">
      <c r="A864" s="115"/>
    </row>
    <row r="865" spans="1:1">
      <c r="A865" s="115"/>
    </row>
    <row r="866" spans="1:1">
      <c r="A866" s="115"/>
    </row>
    <row r="867" spans="1:1">
      <c r="A867" s="115"/>
    </row>
    <row r="868" spans="1:1">
      <c r="A868" s="115"/>
    </row>
    <row r="869" spans="1:1">
      <c r="A869" s="115"/>
    </row>
    <row r="870" spans="1:1">
      <c r="A870" s="115"/>
    </row>
    <row r="871" spans="1:1">
      <c r="A871" s="115"/>
    </row>
    <row r="872" spans="1:1">
      <c r="A872" s="115"/>
    </row>
    <row r="873" spans="1:1">
      <c r="A873" s="115"/>
    </row>
    <row r="874" spans="1:1">
      <c r="A874" s="115"/>
    </row>
    <row r="875" spans="1:1">
      <c r="A875" s="115"/>
    </row>
    <row r="876" spans="1:1">
      <c r="A876" s="115"/>
    </row>
    <row r="877" spans="1:1">
      <c r="A877" s="115"/>
    </row>
    <row r="878" spans="1:1">
      <c r="A878" s="115"/>
    </row>
    <row r="879" spans="1:1">
      <c r="A879" s="115"/>
    </row>
    <row r="880" spans="1:1">
      <c r="A880" s="115"/>
    </row>
    <row r="881" spans="1:1">
      <c r="A881" s="115"/>
    </row>
    <row r="882" spans="1:1">
      <c r="A882" s="115"/>
    </row>
    <row r="883" spans="1:1">
      <c r="A883" s="115"/>
    </row>
    <row r="884" spans="1:1">
      <c r="A884" s="115"/>
    </row>
    <row r="885" spans="1:1">
      <c r="A885" s="115"/>
    </row>
    <row r="886" spans="1:1">
      <c r="A886" s="115"/>
    </row>
    <row r="887" spans="1:1">
      <c r="A887" s="115"/>
    </row>
    <row r="888" spans="1:1">
      <c r="A888" s="115"/>
    </row>
    <row r="889" spans="1:1">
      <c r="A889" s="115"/>
    </row>
    <row r="890" spans="1:1">
      <c r="A890" s="115"/>
    </row>
    <row r="891" spans="1:1">
      <c r="A891" s="115"/>
    </row>
    <row r="892" spans="1:1">
      <c r="A892" s="115"/>
    </row>
    <row r="893" spans="1:1">
      <c r="A893" s="115"/>
    </row>
    <row r="894" spans="1:1">
      <c r="A894" s="115"/>
    </row>
    <row r="895" spans="1:1">
      <c r="A895" s="115"/>
    </row>
    <row r="896" spans="1:1">
      <c r="A896" s="115"/>
    </row>
    <row r="897" spans="1:1">
      <c r="A897" s="115"/>
    </row>
    <row r="898" spans="1:1">
      <c r="A898" s="115"/>
    </row>
    <row r="899" spans="1:1">
      <c r="A899" s="115"/>
    </row>
    <row r="900" spans="1:1">
      <c r="A900" s="115"/>
    </row>
    <row r="901" spans="1:1">
      <c r="A901" s="115"/>
    </row>
    <row r="902" spans="1:1">
      <c r="A902" s="115"/>
    </row>
    <row r="903" spans="1:1">
      <c r="A903" s="115"/>
    </row>
    <row r="904" spans="1:1">
      <c r="A904" s="115"/>
    </row>
    <row r="905" spans="1:1">
      <c r="A905" s="115"/>
    </row>
    <row r="906" spans="1:1">
      <c r="A906" s="115"/>
    </row>
    <row r="907" spans="1:1">
      <c r="A907" s="115"/>
    </row>
    <row r="908" spans="1:1">
      <c r="A908" s="115"/>
    </row>
    <row r="909" spans="1:1">
      <c r="A909" s="115"/>
    </row>
    <row r="910" spans="1:1">
      <c r="A910" s="115"/>
    </row>
    <row r="911" spans="1:1">
      <c r="A911" s="115"/>
    </row>
    <row r="912" spans="1:1">
      <c r="A912" s="115"/>
    </row>
    <row r="913" spans="1:1">
      <c r="A913" s="115"/>
    </row>
    <row r="914" spans="1:1">
      <c r="A914" s="115"/>
    </row>
    <row r="915" spans="1:1">
      <c r="A915" s="115"/>
    </row>
    <row r="916" spans="1:1">
      <c r="A916" s="115"/>
    </row>
    <row r="917" spans="1:1">
      <c r="A917" s="115"/>
    </row>
    <row r="918" spans="1:1">
      <c r="A918" s="115"/>
    </row>
    <row r="919" spans="1:1">
      <c r="A919" s="115"/>
    </row>
    <row r="920" spans="1:1">
      <c r="A920" s="115"/>
    </row>
    <row r="921" spans="1:1">
      <c r="A921" s="115"/>
    </row>
    <row r="922" spans="1:1">
      <c r="A922" s="115"/>
    </row>
    <row r="923" spans="1:1">
      <c r="A923" s="115"/>
    </row>
    <row r="924" spans="1:1">
      <c r="A924" s="115"/>
    </row>
    <row r="925" spans="1:1">
      <c r="A925" s="115"/>
    </row>
    <row r="926" spans="1:1">
      <c r="A926" s="115"/>
    </row>
    <row r="927" spans="1:1">
      <c r="A927" s="115"/>
    </row>
    <row r="928" spans="1:1">
      <c r="A928" s="115"/>
    </row>
    <row r="929" spans="1:1">
      <c r="A929" s="115"/>
    </row>
    <row r="930" spans="1:1">
      <c r="A930" s="115"/>
    </row>
    <row r="931" spans="1:1">
      <c r="A931" s="115"/>
    </row>
    <row r="932" spans="1:1">
      <c r="A932" s="115"/>
    </row>
    <row r="933" spans="1:1">
      <c r="A933" s="115"/>
    </row>
    <row r="934" spans="1:1">
      <c r="A934" s="115"/>
    </row>
    <row r="935" spans="1:1">
      <c r="A935" s="115"/>
    </row>
    <row r="936" spans="1:1">
      <c r="A936" s="115"/>
    </row>
    <row r="937" spans="1:1">
      <c r="A937" s="115"/>
    </row>
    <row r="938" spans="1:1">
      <c r="A938" s="115"/>
    </row>
    <row r="939" spans="1:1">
      <c r="A939" s="115"/>
    </row>
    <row r="940" spans="1:1">
      <c r="A940" s="115"/>
    </row>
    <row r="941" spans="1:1">
      <c r="A941" s="115"/>
    </row>
    <row r="942" spans="1:1">
      <c r="A942" s="115"/>
    </row>
    <row r="943" spans="1:1">
      <c r="A943" s="115"/>
    </row>
    <row r="944" spans="1:1">
      <c r="A944" s="115"/>
    </row>
    <row r="945" spans="1:1">
      <c r="A945" s="115"/>
    </row>
    <row r="946" spans="1:1">
      <c r="A946" s="115"/>
    </row>
    <row r="947" spans="1:1">
      <c r="A947" s="115"/>
    </row>
    <row r="948" spans="1:1">
      <c r="A948" s="115"/>
    </row>
    <row r="949" spans="1:1">
      <c r="A949" s="115"/>
    </row>
    <row r="950" spans="1:1">
      <c r="A950" s="115"/>
    </row>
    <row r="951" spans="1:1">
      <c r="A951" s="115"/>
    </row>
    <row r="952" spans="1:1">
      <c r="A952" s="115"/>
    </row>
    <row r="953" spans="1:1">
      <c r="A953" s="115"/>
    </row>
    <row r="954" spans="1:1">
      <c r="A954" s="115"/>
    </row>
    <row r="955" spans="1:1">
      <c r="A955" s="115"/>
    </row>
    <row r="956" spans="1:1">
      <c r="A956" s="115"/>
    </row>
    <row r="957" spans="1:1">
      <c r="A957" s="115"/>
    </row>
    <row r="958" spans="1:1">
      <c r="A958" s="115"/>
    </row>
    <row r="959" spans="1:1">
      <c r="A959" s="115"/>
    </row>
    <row r="960" spans="1:1">
      <c r="A960" s="115"/>
    </row>
    <row r="961" spans="1:1">
      <c r="A961" s="115"/>
    </row>
    <row r="962" spans="1:1">
      <c r="A962" s="115"/>
    </row>
    <row r="963" spans="1:1">
      <c r="A963" s="115"/>
    </row>
    <row r="964" spans="1:1">
      <c r="A964" s="115"/>
    </row>
    <row r="965" spans="1:1">
      <c r="A965" s="115"/>
    </row>
    <row r="966" spans="1:1">
      <c r="A966" s="115"/>
    </row>
    <row r="967" spans="1:1">
      <c r="A967" s="115"/>
    </row>
    <row r="968" spans="1:1">
      <c r="A968" s="115"/>
    </row>
    <row r="969" spans="1:1">
      <c r="A969" s="115"/>
    </row>
    <row r="970" spans="1:1">
      <c r="A970" s="115"/>
    </row>
    <row r="971" spans="1:1">
      <c r="A971" s="115"/>
    </row>
    <row r="972" spans="1:1">
      <c r="A972" s="115"/>
    </row>
    <row r="973" spans="1:1">
      <c r="A973" s="115"/>
    </row>
    <row r="974" spans="1:1">
      <c r="A974" s="115"/>
    </row>
    <row r="975" spans="1:1">
      <c r="A975" s="115"/>
    </row>
    <row r="976" spans="1:1">
      <c r="A976" s="115"/>
    </row>
    <row r="977" spans="1:1">
      <c r="A977" s="115"/>
    </row>
    <row r="978" spans="1:1">
      <c r="A978" s="115"/>
    </row>
    <row r="979" spans="1:1">
      <c r="A979" s="115"/>
    </row>
    <row r="980" spans="1:1">
      <c r="A980" s="115"/>
    </row>
    <row r="981" spans="1:1">
      <c r="A981" s="115"/>
    </row>
    <row r="982" spans="1:1">
      <c r="A982" s="115"/>
    </row>
    <row r="983" spans="1:1">
      <c r="A983" s="115"/>
    </row>
    <row r="984" spans="1:1">
      <c r="A984" s="115"/>
    </row>
    <row r="985" spans="1:1">
      <c r="A985" s="115"/>
    </row>
    <row r="986" spans="1:1">
      <c r="A986" s="115"/>
    </row>
    <row r="987" spans="1:1">
      <c r="A987" s="115"/>
    </row>
    <row r="988" spans="1:1">
      <c r="A988" s="115"/>
    </row>
    <row r="989" spans="1:1">
      <c r="A989" s="115"/>
    </row>
    <row r="990" spans="1:1">
      <c r="A990" s="115"/>
    </row>
    <row r="991" spans="1:1">
      <c r="A991" s="115"/>
    </row>
    <row r="992" spans="1:1" ht="15" thickBot="1">
      <c r="A992" s="116"/>
    </row>
  </sheetData>
  <mergeCells count="10">
    <mergeCell ref="B1:E2"/>
    <mergeCell ref="A4:A992"/>
    <mergeCell ref="F1:H1"/>
    <mergeCell ref="I1:P1"/>
    <mergeCell ref="Q1:W1"/>
    <mergeCell ref="X1:Z1"/>
    <mergeCell ref="AA1:AB1"/>
    <mergeCell ref="L2:M2"/>
    <mergeCell ref="O2:P2"/>
    <mergeCell ref="R2:S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B5A91-D67D-4FD5-9FAA-3BD488DB4D46}">
  <dimension ref="A1:K973"/>
  <sheetViews>
    <sheetView zoomScale="68" zoomScaleNormal="55" workbookViewId="0">
      <selection activeCell="J2" sqref="J2"/>
    </sheetView>
  </sheetViews>
  <sheetFormatPr defaultColWidth="12.6328125" defaultRowHeight="14.5"/>
  <cols>
    <col min="1" max="1" width="13" customWidth="1"/>
    <col min="2" max="2" width="13" style="69" customWidth="1"/>
    <col min="3" max="3" width="5.7265625" style="69" customWidth="1"/>
    <col min="4" max="4" width="17.6328125" style="69" customWidth="1"/>
    <col min="5" max="6" width="13" style="69" customWidth="1"/>
    <col min="7" max="7" width="17.54296875" style="70" customWidth="1"/>
    <col min="8" max="8" width="6" style="69" customWidth="1"/>
    <col min="9" max="9" width="4.7265625" style="69" customWidth="1"/>
    <col min="10" max="10" width="18.26953125" style="69" customWidth="1"/>
    <col min="11" max="11" width="18.6328125" style="68" customWidth="1"/>
  </cols>
  <sheetData>
    <row r="1" spans="1:11" ht="13" customHeight="1">
      <c r="A1" s="71" t="s">
        <v>0</v>
      </c>
      <c r="B1" s="72" t="s">
        <v>1</v>
      </c>
      <c r="C1" s="72" t="s">
        <v>2</v>
      </c>
      <c r="D1" s="72" t="s">
        <v>3</v>
      </c>
      <c r="E1" s="73" t="s">
        <v>4</v>
      </c>
      <c r="F1" s="72" t="s">
        <v>5</v>
      </c>
      <c r="G1" s="74" t="s">
        <v>6</v>
      </c>
      <c r="H1" s="75" t="s">
        <v>7</v>
      </c>
      <c r="I1" s="72" t="s">
        <v>8</v>
      </c>
      <c r="J1" s="72" t="s">
        <v>9</v>
      </c>
      <c r="K1" s="76" t="s">
        <v>10</v>
      </c>
    </row>
    <row r="2" spans="1:11" ht="15.75" customHeight="1">
      <c r="A2" s="94" t="s">
        <v>927</v>
      </c>
      <c r="B2" s="77" t="s">
        <v>928</v>
      </c>
      <c r="C2" s="77" t="s">
        <v>12</v>
      </c>
      <c r="D2" s="77" t="s">
        <v>13</v>
      </c>
      <c r="E2" s="78" t="s">
        <v>929</v>
      </c>
      <c r="F2" s="77" t="s">
        <v>930</v>
      </c>
      <c r="G2" s="79">
        <v>46112</v>
      </c>
      <c r="H2" s="77" t="s">
        <v>16</v>
      </c>
      <c r="I2" s="77" t="s">
        <v>17</v>
      </c>
      <c r="J2" s="77" t="s">
        <v>931</v>
      </c>
      <c r="K2" s="80" t="s">
        <v>932</v>
      </c>
    </row>
    <row r="3" spans="1:11" ht="15.75" customHeight="1">
      <c r="A3" s="94"/>
      <c r="B3" s="77" t="s">
        <v>928</v>
      </c>
      <c r="C3" s="77" t="s">
        <v>12</v>
      </c>
      <c r="D3" s="77" t="s">
        <v>20</v>
      </c>
      <c r="E3" s="78" t="s">
        <v>933</v>
      </c>
      <c r="F3" s="77" t="s">
        <v>934</v>
      </c>
      <c r="G3" s="79">
        <v>46112</v>
      </c>
      <c r="H3" s="77" t="s">
        <v>16</v>
      </c>
      <c r="I3" s="77" t="s">
        <v>17</v>
      </c>
      <c r="J3" s="77" t="s">
        <v>935</v>
      </c>
      <c r="K3" s="80" t="s">
        <v>932</v>
      </c>
    </row>
    <row r="4" spans="1:11" ht="15.75" customHeight="1">
      <c r="A4" s="94"/>
      <c r="B4" s="77" t="s">
        <v>928</v>
      </c>
      <c r="C4" s="77" t="s">
        <v>12</v>
      </c>
      <c r="D4" s="77" t="s">
        <v>25</v>
      </c>
      <c r="E4" s="78" t="s">
        <v>672</v>
      </c>
      <c r="F4" s="77" t="s">
        <v>936</v>
      </c>
      <c r="G4" s="79">
        <v>46139</v>
      </c>
      <c r="H4" s="77" t="s">
        <v>139</v>
      </c>
      <c r="I4" s="77" t="s">
        <v>34</v>
      </c>
      <c r="J4" s="77" t="s">
        <v>937</v>
      </c>
      <c r="K4" s="81" t="s">
        <v>932</v>
      </c>
    </row>
    <row r="5" spans="1:11" ht="15.75" customHeight="1">
      <c r="A5" s="94"/>
      <c r="B5" s="77" t="s">
        <v>928</v>
      </c>
      <c r="C5" s="77" t="s">
        <v>30</v>
      </c>
      <c r="D5" s="77" t="s">
        <v>31</v>
      </c>
      <c r="E5" s="78" t="s">
        <v>938</v>
      </c>
      <c r="F5" s="77" t="s">
        <v>939</v>
      </c>
      <c r="G5" s="79">
        <v>46112</v>
      </c>
      <c r="H5" s="77" t="s">
        <v>16</v>
      </c>
      <c r="I5" s="77" t="s">
        <v>17</v>
      </c>
      <c r="J5" s="77" t="s">
        <v>940</v>
      </c>
      <c r="K5" s="80" t="s">
        <v>932</v>
      </c>
    </row>
    <row r="6" spans="1:11" ht="15.75" customHeight="1">
      <c r="A6" s="94"/>
      <c r="B6" s="77" t="s">
        <v>928</v>
      </c>
      <c r="C6" s="77" t="s">
        <v>30</v>
      </c>
      <c r="D6" s="77" t="s">
        <v>36</v>
      </c>
      <c r="E6" s="78" t="s">
        <v>37</v>
      </c>
      <c r="F6" s="77" t="s">
        <v>941</v>
      </c>
      <c r="G6" s="79">
        <v>46112</v>
      </c>
      <c r="H6" s="77" t="s">
        <v>16</v>
      </c>
      <c r="I6" s="77" t="s">
        <v>17</v>
      </c>
      <c r="J6" s="77" t="s">
        <v>942</v>
      </c>
      <c r="K6" s="80" t="s">
        <v>932</v>
      </c>
    </row>
    <row r="7" spans="1:11" ht="15.75" customHeight="1">
      <c r="A7" s="94"/>
      <c r="B7" s="77" t="s">
        <v>928</v>
      </c>
      <c r="C7" s="77" t="s">
        <v>30</v>
      </c>
      <c r="D7" s="77" t="s">
        <v>40</v>
      </c>
      <c r="E7" s="78" t="s">
        <v>943</v>
      </c>
      <c r="F7" s="77" t="s">
        <v>944</v>
      </c>
      <c r="G7" s="79">
        <v>46112</v>
      </c>
      <c r="H7" s="77" t="s">
        <v>16</v>
      </c>
      <c r="I7" s="77" t="s">
        <v>17</v>
      </c>
      <c r="J7" s="77" t="s">
        <v>945</v>
      </c>
      <c r="K7" s="80" t="s">
        <v>932</v>
      </c>
    </row>
    <row r="8" spans="1:11" ht="15.75" customHeight="1">
      <c r="A8" s="94"/>
      <c r="B8" s="77" t="s">
        <v>928</v>
      </c>
      <c r="C8" s="77" t="s">
        <v>30</v>
      </c>
      <c r="D8" s="77" t="s">
        <v>43</v>
      </c>
      <c r="E8" s="78" t="s">
        <v>681</v>
      </c>
      <c r="F8" s="77" t="s">
        <v>946</v>
      </c>
      <c r="G8" s="79">
        <v>46112</v>
      </c>
      <c r="H8" s="77" t="s">
        <v>16</v>
      </c>
      <c r="I8" s="77" t="s">
        <v>17</v>
      </c>
      <c r="J8" s="77" t="s">
        <v>947</v>
      </c>
      <c r="K8" s="80" t="s">
        <v>932</v>
      </c>
    </row>
    <row r="9" spans="1:11" ht="15.75" customHeight="1">
      <c r="A9" s="94"/>
      <c r="B9" s="77" t="s">
        <v>928</v>
      </c>
      <c r="C9" s="77" t="s">
        <v>30</v>
      </c>
      <c r="D9" s="77" t="s">
        <v>47</v>
      </c>
      <c r="E9" s="78" t="s">
        <v>948</v>
      </c>
      <c r="F9" s="77" t="s">
        <v>949</v>
      </c>
      <c r="G9" s="79">
        <v>46112</v>
      </c>
      <c r="H9" s="77" t="s">
        <v>16</v>
      </c>
      <c r="I9" s="77" t="s">
        <v>17</v>
      </c>
      <c r="J9" s="77" t="s">
        <v>950</v>
      </c>
      <c r="K9" s="80" t="s">
        <v>932</v>
      </c>
    </row>
    <row r="10" spans="1:11" ht="15.75" customHeight="1">
      <c r="A10" s="94"/>
      <c r="B10" s="77" t="s">
        <v>928</v>
      </c>
      <c r="C10" s="77" t="s">
        <v>30</v>
      </c>
      <c r="D10" s="77" t="s">
        <v>52</v>
      </c>
      <c r="E10" s="78" t="s">
        <v>951</v>
      </c>
      <c r="F10" s="77" t="s">
        <v>952</v>
      </c>
      <c r="G10" s="79">
        <v>46112</v>
      </c>
      <c r="H10" s="77" t="s">
        <v>16</v>
      </c>
      <c r="I10" s="77" t="s">
        <v>17</v>
      </c>
      <c r="J10" s="77" t="s">
        <v>953</v>
      </c>
      <c r="K10" s="80" t="s">
        <v>932</v>
      </c>
    </row>
    <row r="11" spans="1:11" ht="15.75" customHeight="1">
      <c r="A11" s="94"/>
      <c r="B11" s="77" t="s">
        <v>928</v>
      </c>
      <c r="C11" s="77" t="s">
        <v>30</v>
      </c>
      <c r="D11" s="77" t="s">
        <v>56</v>
      </c>
      <c r="E11" s="78" t="s">
        <v>954</v>
      </c>
      <c r="F11" s="77" t="s">
        <v>955</v>
      </c>
      <c r="G11" s="79">
        <v>46112</v>
      </c>
      <c r="H11" s="77" t="s">
        <v>16</v>
      </c>
      <c r="I11" s="77" t="s">
        <v>17</v>
      </c>
      <c r="J11" s="77" t="s">
        <v>956</v>
      </c>
      <c r="K11" s="80" t="s">
        <v>932</v>
      </c>
    </row>
    <row r="12" spans="1:11" ht="15.75" customHeight="1">
      <c r="A12" s="94"/>
      <c r="B12" s="77" t="s">
        <v>928</v>
      </c>
      <c r="C12" s="77" t="s">
        <v>30</v>
      </c>
      <c r="D12" s="77" t="s">
        <v>61</v>
      </c>
      <c r="E12" s="78" t="s">
        <v>957</v>
      </c>
      <c r="F12" s="77" t="s">
        <v>958</v>
      </c>
      <c r="G12" s="79">
        <v>46112</v>
      </c>
      <c r="H12" s="77" t="s">
        <v>16</v>
      </c>
      <c r="I12" s="77" t="s">
        <v>34</v>
      </c>
      <c r="J12" s="77" t="s">
        <v>959</v>
      </c>
      <c r="K12" s="80" t="s">
        <v>932</v>
      </c>
    </row>
    <row r="13" spans="1:11" ht="15.75" customHeight="1">
      <c r="A13" s="94"/>
      <c r="B13" s="77" t="s">
        <v>928</v>
      </c>
      <c r="C13" s="77" t="s">
        <v>65</v>
      </c>
      <c r="D13" s="77" t="s">
        <v>66</v>
      </c>
      <c r="E13" s="78" t="s">
        <v>67</v>
      </c>
      <c r="F13" s="77" t="s">
        <v>960</v>
      </c>
      <c r="G13" s="79">
        <v>46112</v>
      </c>
      <c r="H13" s="77" t="s">
        <v>16</v>
      </c>
      <c r="I13" s="77" t="s">
        <v>17</v>
      </c>
      <c r="J13" s="77" t="s">
        <v>961</v>
      </c>
      <c r="K13" s="80" t="s">
        <v>932</v>
      </c>
    </row>
    <row r="14" spans="1:11" ht="15.75" customHeight="1">
      <c r="A14" s="94"/>
      <c r="B14" s="77" t="s">
        <v>928</v>
      </c>
      <c r="C14" s="77" t="s">
        <v>65</v>
      </c>
      <c r="D14" s="77" t="s">
        <v>72</v>
      </c>
      <c r="E14" s="78" t="s">
        <v>157</v>
      </c>
      <c r="F14" s="77" t="s">
        <v>962</v>
      </c>
      <c r="G14" s="79">
        <v>46112</v>
      </c>
      <c r="H14" s="77" t="s">
        <v>16</v>
      </c>
      <c r="I14" s="77" t="s">
        <v>17</v>
      </c>
      <c r="J14" s="77" t="s">
        <v>963</v>
      </c>
      <c r="K14" s="80" t="s">
        <v>932</v>
      </c>
    </row>
    <row r="15" spans="1:11" ht="15.75" customHeight="1">
      <c r="A15" s="94"/>
      <c r="B15" s="77" t="s">
        <v>928</v>
      </c>
      <c r="C15" s="77" t="s">
        <v>65</v>
      </c>
      <c r="D15" s="77" t="s">
        <v>77</v>
      </c>
      <c r="E15" s="78" t="s">
        <v>964</v>
      </c>
      <c r="F15" s="77" t="s">
        <v>965</v>
      </c>
      <c r="G15" s="79">
        <v>46139</v>
      </c>
      <c r="H15" s="77" t="s">
        <v>139</v>
      </c>
      <c r="I15" s="77" t="s">
        <v>17</v>
      </c>
      <c r="J15" s="77" t="s">
        <v>966</v>
      </c>
      <c r="K15" s="81" t="s">
        <v>932</v>
      </c>
    </row>
    <row r="16" spans="1:11" ht="15.75" customHeight="1">
      <c r="A16" s="94"/>
      <c r="B16" s="77" t="s">
        <v>928</v>
      </c>
      <c r="C16" s="77" t="s">
        <v>65</v>
      </c>
      <c r="D16" s="77" t="s">
        <v>81</v>
      </c>
      <c r="E16" s="78" t="s">
        <v>967</v>
      </c>
      <c r="F16" s="77" t="s">
        <v>968</v>
      </c>
      <c r="G16" s="79">
        <v>46112</v>
      </c>
      <c r="H16" s="77" t="s">
        <v>16</v>
      </c>
      <c r="I16" s="77" t="s">
        <v>17</v>
      </c>
      <c r="J16" s="77" t="s">
        <v>969</v>
      </c>
      <c r="K16" s="80" t="s">
        <v>932</v>
      </c>
    </row>
    <row r="17" spans="1:11" ht="15.75" customHeight="1">
      <c r="A17" s="94"/>
      <c r="B17" s="77" t="s">
        <v>928</v>
      </c>
      <c r="C17" s="77" t="s">
        <v>65</v>
      </c>
      <c r="D17" s="77" t="s">
        <v>91</v>
      </c>
      <c r="E17" s="78" t="s">
        <v>26</v>
      </c>
      <c r="F17" s="77" t="s">
        <v>970</v>
      </c>
      <c r="G17" s="79">
        <v>46112</v>
      </c>
      <c r="H17" s="77" t="s">
        <v>16</v>
      </c>
      <c r="I17" s="77" t="s">
        <v>34</v>
      </c>
      <c r="J17" s="77" t="s">
        <v>971</v>
      </c>
      <c r="K17" s="80" t="s">
        <v>932</v>
      </c>
    </row>
    <row r="18" spans="1:11" ht="15.75" customHeight="1">
      <c r="A18" s="94"/>
      <c r="B18" s="77" t="s">
        <v>928</v>
      </c>
      <c r="C18" s="77" t="s">
        <v>65</v>
      </c>
      <c r="D18" s="77" t="s">
        <v>95</v>
      </c>
      <c r="E18" s="78" t="s">
        <v>26</v>
      </c>
      <c r="F18" s="77" t="s">
        <v>972</v>
      </c>
      <c r="G18" s="79">
        <v>46112</v>
      </c>
      <c r="H18" s="77" t="s">
        <v>16</v>
      </c>
      <c r="I18" s="77" t="s">
        <v>34</v>
      </c>
      <c r="J18" s="77" t="s">
        <v>973</v>
      </c>
      <c r="K18" s="80" t="s">
        <v>932</v>
      </c>
    </row>
    <row r="19" spans="1:11" ht="15.75" customHeight="1">
      <c r="A19" s="94"/>
      <c r="B19" s="77" t="s">
        <v>928</v>
      </c>
      <c r="C19" s="77" t="s">
        <v>65</v>
      </c>
      <c r="D19" s="77" t="s">
        <v>100</v>
      </c>
      <c r="E19" s="78" t="s">
        <v>171</v>
      </c>
      <c r="F19" s="77" t="s">
        <v>974</v>
      </c>
      <c r="G19" s="79">
        <v>46139</v>
      </c>
      <c r="H19" s="77" t="s">
        <v>139</v>
      </c>
      <c r="I19" s="77" t="s">
        <v>17</v>
      </c>
      <c r="J19" s="77" t="s">
        <v>975</v>
      </c>
      <c r="K19" s="80" t="s">
        <v>932</v>
      </c>
    </row>
    <row r="20" spans="1:11" ht="15.75" customHeight="1">
      <c r="A20" s="94"/>
      <c r="B20" s="77" t="s">
        <v>928</v>
      </c>
      <c r="C20" s="77" t="s">
        <v>85</v>
      </c>
      <c r="D20" s="77" t="s">
        <v>86</v>
      </c>
      <c r="E20" s="78" t="s">
        <v>473</v>
      </c>
      <c r="F20" s="77" t="s">
        <v>976</v>
      </c>
      <c r="G20" s="79">
        <v>46112</v>
      </c>
      <c r="H20" s="77" t="s">
        <v>16</v>
      </c>
      <c r="I20" s="77" t="s">
        <v>17</v>
      </c>
      <c r="J20" s="77" t="s">
        <v>977</v>
      </c>
      <c r="K20" s="80" t="s">
        <v>932</v>
      </c>
    </row>
    <row r="21" spans="1:11" ht="15.75" customHeight="1">
      <c r="A21" s="94"/>
      <c r="B21" s="77" t="s">
        <v>928</v>
      </c>
      <c r="C21" s="77" t="s">
        <v>85</v>
      </c>
      <c r="D21" s="77" t="s">
        <v>103</v>
      </c>
      <c r="E21" s="78" t="s">
        <v>104</v>
      </c>
      <c r="F21" s="77" t="s">
        <v>978</v>
      </c>
      <c r="G21" s="79">
        <v>46112</v>
      </c>
      <c r="H21" s="77" t="s">
        <v>16</v>
      </c>
      <c r="I21" s="82" t="s">
        <v>17</v>
      </c>
      <c r="J21" s="77" t="s">
        <v>979</v>
      </c>
      <c r="K21" s="80" t="s">
        <v>980</v>
      </c>
    </row>
    <row r="22" spans="1:11" ht="15.75" customHeight="1">
      <c r="A22" s="94"/>
      <c r="B22" s="77" t="s">
        <v>928</v>
      </c>
      <c r="C22" s="77" t="s">
        <v>85</v>
      </c>
      <c r="D22" s="77" t="s">
        <v>108</v>
      </c>
      <c r="E22" s="78" t="s">
        <v>981</v>
      </c>
      <c r="F22" s="77" t="s">
        <v>982</v>
      </c>
      <c r="G22" s="79">
        <v>46139</v>
      </c>
      <c r="H22" s="77" t="s">
        <v>139</v>
      </c>
      <c r="I22" s="77" t="s">
        <v>17</v>
      </c>
      <c r="J22" s="77" t="s">
        <v>983</v>
      </c>
      <c r="K22" s="80" t="s">
        <v>932</v>
      </c>
    </row>
    <row r="23" spans="1:11" ht="15.75" customHeight="1">
      <c r="A23" s="94"/>
      <c r="B23" s="77" t="s">
        <v>928</v>
      </c>
      <c r="C23" s="77" t="s">
        <v>112</v>
      </c>
      <c r="D23" s="77" t="s">
        <v>113</v>
      </c>
      <c r="E23" s="78" t="s">
        <v>984</v>
      </c>
      <c r="F23" s="77" t="s">
        <v>985</v>
      </c>
      <c r="G23" s="79">
        <v>46139</v>
      </c>
      <c r="H23" s="77" t="s">
        <v>139</v>
      </c>
      <c r="I23" s="77" t="s">
        <v>17</v>
      </c>
      <c r="J23" s="77" t="s">
        <v>986</v>
      </c>
      <c r="K23" s="80" t="s">
        <v>932</v>
      </c>
    </row>
    <row r="24" spans="1:11" ht="14.5" customHeight="1">
      <c r="A24" s="94"/>
      <c r="B24" s="77" t="s">
        <v>928</v>
      </c>
      <c r="C24" s="77" t="s">
        <v>112</v>
      </c>
      <c r="D24" s="77" t="s">
        <v>118</v>
      </c>
      <c r="E24" s="78" t="s">
        <v>987</v>
      </c>
      <c r="F24" s="77" t="s">
        <v>988</v>
      </c>
      <c r="G24" s="79">
        <v>46112</v>
      </c>
      <c r="H24" s="77" t="s">
        <v>16</v>
      </c>
      <c r="I24" s="77" t="s">
        <v>17</v>
      </c>
      <c r="J24" s="77" t="s">
        <v>989</v>
      </c>
      <c r="K24" s="80" t="s">
        <v>932</v>
      </c>
    </row>
    <row r="25" spans="1:11" ht="15.75" customHeight="1">
      <c r="A25" s="94">
        <v>2</v>
      </c>
      <c r="B25" s="77" t="s">
        <v>990</v>
      </c>
      <c r="C25" s="77" t="s">
        <v>12</v>
      </c>
      <c r="D25" s="77" t="s">
        <v>13</v>
      </c>
      <c r="E25" s="78" t="s">
        <v>247</v>
      </c>
      <c r="F25" s="77" t="s">
        <v>991</v>
      </c>
      <c r="G25" s="79">
        <v>46112</v>
      </c>
      <c r="H25" s="77" t="s">
        <v>249</v>
      </c>
      <c r="I25" s="77" t="s">
        <v>17</v>
      </c>
      <c r="J25" s="77" t="s">
        <v>439</v>
      </c>
      <c r="K25" s="80" t="s">
        <v>440</v>
      </c>
    </row>
    <row r="26" spans="1:11" ht="15.75" customHeight="1">
      <c r="A26" s="95"/>
      <c r="B26" s="77" t="s">
        <v>990</v>
      </c>
      <c r="C26" s="77" t="s">
        <v>12</v>
      </c>
      <c r="D26" s="77" t="s">
        <v>20</v>
      </c>
      <c r="E26" s="78" t="s">
        <v>21</v>
      </c>
      <c r="F26" s="77" t="s">
        <v>992</v>
      </c>
      <c r="G26" s="79">
        <v>46112</v>
      </c>
      <c r="H26" s="77" t="s">
        <v>249</v>
      </c>
      <c r="I26" s="77" t="s">
        <v>17</v>
      </c>
      <c r="J26" s="77" t="s">
        <v>993</v>
      </c>
      <c r="K26" s="80" t="s">
        <v>440</v>
      </c>
    </row>
    <row r="27" spans="1:11" ht="15.75" customHeight="1">
      <c r="A27" s="95"/>
      <c r="B27" s="77" t="s">
        <v>990</v>
      </c>
      <c r="C27" s="77" t="s">
        <v>12</v>
      </c>
      <c r="D27" s="77" t="s">
        <v>25</v>
      </c>
      <c r="E27" s="78" t="s">
        <v>994</v>
      </c>
      <c r="F27" s="77" t="s">
        <v>995</v>
      </c>
      <c r="G27" s="79">
        <v>46139</v>
      </c>
      <c r="H27" s="77" t="s">
        <v>996</v>
      </c>
      <c r="I27" s="77" t="s">
        <v>17</v>
      </c>
      <c r="J27" s="77" t="s">
        <v>997</v>
      </c>
      <c r="K27" s="81" t="s">
        <v>998</v>
      </c>
    </row>
    <row r="28" spans="1:11" ht="15.75" customHeight="1">
      <c r="A28" s="95"/>
      <c r="B28" s="77" t="s">
        <v>990</v>
      </c>
      <c r="C28" s="77" t="s">
        <v>30</v>
      </c>
      <c r="D28" s="77" t="s">
        <v>31</v>
      </c>
      <c r="E28" s="78" t="s">
        <v>32</v>
      </c>
      <c r="F28" s="77" t="s">
        <v>999</v>
      </c>
      <c r="G28" s="79">
        <v>46112</v>
      </c>
      <c r="H28" s="77" t="s">
        <v>16</v>
      </c>
      <c r="I28" s="77" t="s">
        <v>17</v>
      </c>
      <c r="J28" s="77" t="s">
        <v>1000</v>
      </c>
      <c r="K28" s="80" t="s">
        <v>444</v>
      </c>
    </row>
    <row r="29" spans="1:11" ht="15.75" customHeight="1">
      <c r="A29" s="95"/>
      <c r="B29" s="77" t="s">
        <v>990</v>
      </c>
      <c r="C29" s="77" t="s">
        <v>30</v>
      </c>
      <c r="D29" s="77" t="s">
        <v>36</v>
      </c>
      <c r="E29" s="78" t="s">
        <v>37</v>
      </c>
      <c r="F29" s="77" t="s">
        <v>1001</v>
      </c>
      <c r="G29" s="79">
        <v>46112</v>
      </c>
      <c r="H29" s="77" t="s">
        <v>16</v>
      </c>
      <c r="I29" s="77" t="s">
        <v>34</v>
      </c>
      <c r="J29" s="77" t="s">
        <v>1002</v>
      </c>
      <c r="K29" s="80" t="s">
        <v>444</v>
      </c>
    </row>
    <row r="30" spans="1:11" ht="15.75" customHeight="1">
      <c r="A30" s="95"/>
      <c r="B30" s="77" t="s">
        <v>990</v>
      </c>
      <c r="C30" s="77" t="s">
        <v>30</v>
      </c>
      <c r="D30" s="77" t="s">
        <v>40</v>
      </c>
      <c r="E30" s="78" t="s">
        <v>1003</v>
      </c>
      <c r="F30" s="77" t="s">
        <v>1004</v>
      </c>
      <c r="G30" s="79">
        <v>46112</v>
      </c>
      <c r="H30" s="77" t="s">
        <v>254</v>
      </c>
      <c r="I30" s="77" t="s">
        <v>34</v>
      </c>
      <c r="J30" s="77" t="s">
        <v>1005</v>
      </c>
      <c r="K30" s="80" t="s">
        <v>1006</v>
      </c>
    </row>
    <row r="31" spans="1:11" ht="15.75" customHeight="1">
      <c r="A31" s="95"/>
      <c r="B31" s="77" t="s">
        <v>990</v>
      </c>
      <c r="C31" s="77" t="s">
        <v>30</v>
      </c>
      <c r="D31" s="77" t="s">
        <v>43</v>
      </c>
      <c r="E31" s="78" t="s">
        <v>44</v>
      </c>
      <c r="F31" s="77" t="s">
        <v>1007</v>
      </c>
      <c r="G31" s="79">
        <v>46112</v>
      </c>
      <c r="H31" s="77" t="s">
        <v>249</v>
      </c>
      <c r="I31" s="77" t="s">
        <v>34</v>
      </c>
      <c r="J31" s="77" t="s">
        <v>1008</v>
      </c>
      <c r="K31" s="80" t="s">
        <v>440</v>
      </c>
    </row>
    <row r="32" spans="1:11" ht="15.75" customHeight="1">
      <c r="A32" s="95"/>
      <c r="B32" s="77" t="s">
        <v>990</v>
      </c>
      <c r="C32" s="77" t="s">
        <v>30</v>
      </c>
      <c r="D32" s="77" t="s">
        <v>47</v>
      </c>
      <c r="E32" s="78" t="s">
        <v>1009</v>
      </c>
      <c r="F32" s="77" t="s">
        <v>1010</v>
      </c>
      <c r="G32" s="79">
        <v>46112</v>
      </c>
      <c r="H32" s="77" t="s">
        <v>16</v>
      </c>
      <c r="I32" s="77" t="s">
        <v>17</v>
      </c>
      <c r="J32" s="77" t="s">
        <v>1011</v>
      </c>
      <c r="K32" s="80" t="s">
        <v>444</v>
      </c>
    </row>
    <row r="33" spans="1:11" ht="15.75" customHeight="1">
      <c r="A33" s="95"/>
      <c r="B33" s="77" t="s">
        <v>990</v>
      </c>
      <c r="C33" s="77" t="s">
        <v>30</v>
      </c>
      <c r="D33" s="77" t="s">
        <v>52</v>
      </c>
      <c r="E33" s="78" t="s">
        <v>53</v>
      </c>
      <c r="F33" s="77" t="s">
        <v>1012</v>
      </c>
      <c r="G33" s="79">
        <v>46112</v>
      </c>
      <c r="H33" s="77" t="s">
        <v>16</v>
      </c>
      <c r="I33" s="77" t="s">
        <v>17</v>
      </c>
      <c r="J33" s="77" t="s">
        <v>1013</v>
      </c>
      <c r="K33" s="80" t="s">
        <v>444</v>
      </c>
    </row>
    <row r="34" spans="1:11" ht="15.75" customHeight="1">
      <c r="A34" s="95"/>
      <c r="B34" s="77" t="s">
        <v>990</v>
      </c>
      <c r="C34" s="77" t="s">
        <v>30</v>
      </c>
      <c r="D34" s="77" t="s">
        <v>56</v>
      </c>
      <c r="E34" s="78" t="s">
        <v>1014</v>
      </c>
      <c r="F34" s="77" t="s">
        <v>1015</v>
      </c>
      <c r="G34" s="79">
        <v>46112</v>
      </c>
      <c r="H34" s="77" t="s">
        <v>16</v>
      </c>
      <c r="I34" s="77" t="s">
        <v>17</v>
      </c>
      <c r="J34" s="77" t="s">
        <v>1016</v>
      </c>
      <c r="K34" s="80" t="s">
        <v>1017</v>
      </c>
    </row>
    <row r="35" spans="1:11" ht="15.75" customHeight="1">
      <c r="A35" s="95"/>
      <c r="B35" s="77" t="s">
        <v>990</v>
      </c>
      <c r="C35" s="77" t="s">
        <v>30</v>
      </c>
      <c r="D35" s="77" t="s">
        <v>61</v>
      </c>
      <c r="E35" s="78" t="s">
        <v>26</v>
      </c>
      <c r="F35" s="77" t="s">
        <v>1018</v>
      </c>
      <c r="G35" s="79">
        <v>46112</v>
      </c>
      <c r="H35" s="77" t="s">
        <v>16</v>
      </c>
      <c r="I35" s="77" t="s">
        <v>28</v>
      </c>
      <c r="J35" s="77" t="s">
        <v>1019</v>
      </c>
      <c r="K35" s="80" t="s">
        <v>444</v>
      </c>
    </row>
    <row r="36" spans="1:11" ht="15.75" customHeight="1">
      <c r="A36" s="95"/>
      <c r="B36" s="77" t="s">
        <v>990</v>
      </c>
      <c r="C36" s="77" t="s">
        <v>65</v>
      </c>
      <c r="D36" s="77" t="s">
        <v>66</v>
      </c>
      <c r="E36" s="78" t="s">
        <v>67</v>
      </c>
      <c r="F36" s="77" t="s">
        <v>1020</v>
      </c>
      <c r="G36" s="79">
        <v>46112</v>
      </c>
      <c r="H36" s="77" t="s">
        <v>254</v>
      </c>
      <c r="I36" s="77" t="s">
        <v>34</v>
      </c>
      <c r="J36" s="77" t="s">
        <v>1021</v>
      </c>
      <c r="K36" s="80" t="s">
        <v>1017</v>
      </c>
    </row>
    <row r="37" spans="1:11" ht="15.75" customHeight="1">
      <c r="A37" s="95"/>
      <c r="B37" s="77" t="s">
        <v>990</v>
      </c>
      <c r="C37" s="77" t="s">
        <v>65</v>
      </c>
      <c r="D37" s="77" t="s">
        <v>72</v>
      </c>
      <c r="E37" s="78" t="s">
        <v>157</v>
      </c>
      <c r="F37" s="77" t="s">
        <v>1022</v>
      </c>
      <c r="G37" s="79">
        <v>46112</v>
      </c>
      <c r="H37" s="77" t="s">
        <v>254</v>
      </c>
      <c r="I37" s="77" t="s">
        <v>34</v>
      </c>
      <c r="J37" s="77" t="s">
        <v>1023</v>
      </c>
      <c r="K37" s="80" t="s">
        <v>1017</v>
      </c>
    </row>
    <row r="38" spans="1:11" ht="15.75" customHeight="1">
      <c r="A38" s="95"/>
      <c r="B38" s="77" t="s">
        <v>990</v>
      </c>
      <c r="C38" s="77" t="s">
        <v>65</v>
      </c>
      <c r="D38" s="77" t="s">
        <v>77</v>
      </c>
      <c r="E38" s="78" t="s">
        <v>1024</v>
      </c>
      <c r="F38" s="77" t="s">
        <v>1025</v>
      </c>
      <c r="G38" s="79">
        <v>46139</v>
      </c>
      <c r="H38" s="77" t="s">
        <v>1026</v>
      </c>
      <c r="I38" s="77" t="s">
        <v>1027</v>
      </c>
      <c r="J38" s="77" t="s">
        <v>1028</v>
      </c>
      <c r="K38" s="81" t="s">
        <v>1029</v>
      </c>
    </row>
    <row r="39" spans="1:11" ht="15.75" customHeight="1">
      <c r="A39" s="95"/>
      <c r="B39" s="77" t="s">
        <v>990</v>
      </c>
      <c r="C39" s="77" t="s">
        <v>65</v>
      </c>
      <c r="D39" s="77" t="s">
        <v>81</v>
      </c>
      <c r="E39" s="78" t="s">
        <v>82</v>
      </c>
      <c r="F39" s="77" t="s">
        <v>1030</v>
      </c>
      <c r="G39" s="79">
        <v>46112</v>
      </c>
      <c r="H39" s="77" t="s">
        <v>16</v>
      </c>
      <c r="I39" s="77" t="s">
        <v>17</v>
      </c>
      <c r="J39" s="77" t="s">
        <v>1031</v>
      </c>
      <c r="K39" s="80" t="s">
        <v>444</v>
      </c>
    </row>
    <row r="40" spans="1:11" ht="15.75" customHeight="1">
      <c r="A40" s="95"/>
      <c r="B40" s="77" t="s">
        <v>990</v>
      </c>
      <c r="C40" s="77" t="s">
        <v>65</v>
      </c>
      <c r="D40" s="77" t="s">
        <v>91</v>
      </c>
      <c r="E40" s="78" t="s">
        <v>92</v>
      </c>
      <c r="F40" s="77" t="s">
        <v>1032</v>
      </c>
      <c r="G40" s="79">
        <v>46112</v>
      </c>
      <c r="H40" s="77" t="s">
        <v>16</v>
      </c>
      <c r="I40" s="77" t="s">
        <v>17</v>
      </c>
      <c r="J40" s="77" t="s">
        <v>1013</v>
      </c>
      <c r="K40" s="80" t="s">
        <v>444</v>
      </c>
    </row>
    <row r="41" spans="1:11" ht="15.75" customHeight="1">
      <c r="A41" s="95"/>
      <c r="B41" s="77" t="s">
        <v>990</v>
      </c>
      <c r="C41" s="77" t="s">
        <v>65</v>
      </c>
      <c r="D41" s="77" t="s">
        <v>95</v>
      </c>
      <c r="E41" s="78" t="s">
        <v>592</v>
      </c>
      <c r="F41" s="77" t="s">
        <v>1033</v>
      </c>
      <c r="G41" s="79">
        <v>46112</v>
      </c>
      <c r="H41" s="77" t="s">
        <v>16</v>
      </c>
      <c r="I41" s="77" t="s">
        <v>34</v>
      </c>
      <c r="J41" s="77" t="s">
        <v>481</v>
      </c>
      <c r="K41" s="80" t="s">
        <v>444</v>
      </c>
    </row>
    <row r="42" spans="1:11" ht="15.75" customHeight="1">
      <c r="A42" s="95"/>
      <c r="B42" s="77" t="s">
        <v>990</v>
      </c>
      <c r="C42" s="77" t="s">
        <v>65</v>
      </c>
      <c r="D42" s="77" t="s">
        <v>100</v>
      </c>
      <c r="E42" s="78" t="s">
        <v>1034</v>
      </c>
      <c r="F42" s="77" t="s">
        <v>1035</v>
      </c>
      <c r="G42" s="79">
        <v>46139</v>
      </c>
      <c r="H42" s="77" t="s">
        <v>1036</v>
      </c>
      <c r="I42" s="77" t="s">
        <v>1027</v>
      </c>
      <c r="J42" s="77" t="s">
        <v>1037</v>
      </c>
      <c r="K42" s="80" t="s">
        <v>1038</v>
      </c>
    </row>
    <row r="43" spans="1:11" ht="15.75" customHeight="1">
      <c r="A43" s="95"/>
      <c r="B43" s="77" t="s">
        <v>990</v>
      </c>
      <c r="C43" s="77" t="s">
        <v>85</v>
      </c>
      <c r="D43" s="77" t="s">
        <v>86</v>
      </c>
      <c r="E43" s="78" t="s">
        <v>1039</v>
      </c>
      <c r="F43" s="77" t="s">
        <v>1040</v>
      </c>
      <c r="G43" s="79">
        <v>46112</v>
      </c>
      <c r="H43" s="77" t="s">
        <v>254</v>
      </c>
      <c r="I43" s="77" t="s">
        <v>17</v>
      </c>
      <c r="J43" s="77" t="s">
        <v>1041</v>
      </c>
      <c r="K43" s="80" t="s">
        <v>1017</v>
      </c>
    </row>
    <row r="44" spans="1:11" ht="15.75" customHeight="1">
      <c r="A44" s="95"/>
      <c r="B44" s="77" t="s">
        <v>990</v>
      </c>
      <c r="C44" s="77" t="s">
        <v>85</v>
      </c>
      <c r="D44" s="77" t="s">
        <v>103</v>
      </c>
      <c r="E44" s="83" t="s">
        <v>1042</v>
      </c>
      <c r="F44" s="77" t="s">
        <v>1043</v>
      </c>
      <c r="G44" s="79">
        <v>46112</v>
      </c>
      <c r="H44" s="77" t="s">
        <v>16</v>
      </c>
      <c r="I44" s="82" t="s">
        <v>17</v>
      </c>
      <c r="J44" s="77" t="s">
        <v>1043</v>
      </c>
      <c r="K44" s="80" t="s">
        <v>1044</v>
      </c>
    </row>
    <row r="45" spans="1:11" ht="15.75" customHeight="1">
      <c r="A45" s="95"/>
      <c r="B45" s="77" t="s">
        <v>990</v>
      </c>
      <c r="C45" s="77" t="s">
        <v>85</v>
      </c>
      <c r="D45" s="77" t="s">
        <v>108</v>
      </c>
      <c r="E45" s="78" t="s">
        <v>1045</v>
      </c>
      <c r="F45" s="77" t="s">
        <v>1046</v>
      </c>
      <c r="G45" s="79">
        <v>46139</v>
      </c>
      <c r="H45" s="77" t="s">
        <v>1047</v>
      </c>
      <c r="I45" s="77" t="s">
        <v>17</v>
      </c>
      <c r="J45" s="77" t="s">
        <v>1048</v>
      </c>
      <c r="K45" s="80" t="s">
        <v>1049</v>
      </c>
    </row>
    <row r="46" spans="1:11" ht="15.75" customHeight="1">
      <c r="A46" s="95"/>
      <c r="B46" s="77" t="s">
        <v>990</v>
      </c>
      <c r="C46" s="77" t="s">
        <v>112</v>
      </c>
      <c r="D46" s="77" t="s">
        <v>113</v>
      </c>
      <c r="E46" s="78" t="s">
        <v>1050</v>
      </c>
      <c r="F46" s="77" t="s">
        <v>1051</v>
      </c>
      <c r="G46" s="79">
        <v>46139</v>
      </c>
      <c r="H46" s="77" t="s">
        <v>1052</v>
      </c>
      <c r="I46" s="77" t="s">
        <v>34</v>
      </c>
      <c r="J46" s="77" t="s">
        <v>1053</v>
      </c>
      <c r="K46" s="80" t="s">
        <v>1054</v>
      </c>
    </row>
    <row r="47" spans="1:11" ht="14.5" customHeight="1">
      <c r="A47" s="95"/>
      <c r="B47" s="77" t="s">
        <v>990</v>
      </c>
      <c r="C47" s="77" t="s">
        <v>112</v>
      </c>
      <c r="D47" s="77" t="s">
        <v>118</v>
      </c>
      <c r="E47" s="78" t="s">
        <v>308</v>
      </c>
      <c r="F47" s="77" t="s">
        <v>1055</v>
      </c>
      <c r="G47" s="79">
        <v>46112</v>
      </c>
      <c r="H47" s="77" t="s">
        <v>16</v>
      </c>
      <c r="I47" s="77" t="s">
        <v>17</v>
      </c>
      <c r="J47" s="77" t="s">
        <v>1056</v>
      </c>
      <c r="K47" s="80" t="s">
        <v>444</v>
      </c>
    </row>
    <row r="48" spans="1:11" ht="15.75" customHeight="1">
      <c r="A48" s="94">
        <v>3</v>
      </c>
      <c r="B48" s="77" t="s">
        <v>1062</v>
      </c>
      <c r="C48" s="77" t="s">
        <v>12</v>
      </c>
      <c r="D48" s="77" t="s">
        <v>13</v>
      </c>
      <c r="E48" s="78" t="s">
        <v>124</v>
      </c>
      <c r="F48" s="77" t="s">
        <v>1063</v>
      </c>
      <c r="G48" s="79">
        <v>46113</v>
      </c>
      <c r="H48" s="77" t="s">
        <v>16</v>
      </c>
      <c r="I48" s="77" t="s">
        <v>17</v>
      </c>
      <c r="J48" s="77" t="s">
        <v>1064</v>
      </c>
      <c r="K48" s="80" t="s">
        <v>1065</v>
      </c>
    </row>
    <row r="49" spans="1:11" ht="15.75" customHeight="1">
      <c r="A49" s="95"/>
      <c r="B49" s="77" t="s">
        <v>1062</v>
      </c>
      <c r="C49" s="77" t="s">
        <v>12</v>
      </c>
      <c r="D49" s="77" t="s">
        <v>20</v>
      </c>
      <c r="E49" s="78" t="s">
        <v>1066</v>
      </c>
      <c r="F49" s="77" t="s">
        <v>1067</v>
      </c>
      <c r="G49" s="79">
        <v>46113</v>
      </c>
      <c r="H49" s="77" t="s">
        <v>16</v>
      </c>
      <c r="I49" s="77" t="s">
        <v>17</v>
      </c>
      <c r="J49" s="77" t="s">
        <v>1068</v>
      </c>
      <c r="K49" s="80" t="s">
        <v>1069</v>
      </c>
    </row>
    <row r="50" spans="1:11" ht="15.75" customHeight="1">
      <c r="A50" s="95"/>
      <c r="B50" s="77" t="s">
        <v>1062</v>
      </c>
      <c r="C50" s="77" t="s">
        <v>12</v>
      </c>
      <c r="D50" s="77" t="s">
        <v>25</v>
      </c>
      <c r="E50" s="78" t="s">
        <v>1057</v>
      </c>
      <c r="F50" s="77" t="s">
        <v>1070</v>
      </c>
      <c r="G50" s="79">
        <v>46139</v>
      </c>
      <c r="H50" s="77" t="s">
        <v>139</v>
      </c>
      <c r="I50" s="77" t="s">
        <v>34</v>
      </c>
      <c r="J50" s="77" t="s">
        <v>1071</v>
      </c>
      <c r="K50" s="81" t="s">
        <v>1069</v>
      </c>
    </row>
    <row r="51" spans="1:11" ht="15.75" customHeight="1">
      <c r="A51" s="95"/>
      <c r="B51" s="77" t="s">
        <v>1062</v>
      </c>
      <c r="C51" s="77" t="s">
        <v>30</v>
      </c>
      <c r="D51" s="77" t="s">
        <v>31</v>
      </c>
      <c r="E51" s="78" t="s">
        <v>938</v>
      </c>
      <c r="F51" s="77" t="s">
        <v>1072</v>
      </c>
      <c r="G51" s="79">
        <v>46113</v>
      </c>
      <c r="H51" s="77" t="s">
        <v>16</v>
      </c>
      <c r="I51" s="77" t="s">
        <v>17</v>
      </c>
      <c r="J51" s="77" t="s">
        <v>1073</v>
      </c>
      <c r="K51" s="80" t="s">
        <v>1074</v>
      </c>
    </row>
    <row r="52" spans="1:11" ht="15.75" customHeight="1">
      <c r="A52" s="95"/>
      <c r="B52" s="77" t="s">
        <v>1062</v>
      </c>
      <c r="C52" s="77" t="s">
        <v>30</v>
      </c>
      <c r="D52" s="77" t="s">
        <v>36</v>
      </c>
      <c r="E52" s="78" t="s">
        <v>37</v>
      </c>
      <c r="F52" s="77" t="s">
        <v>1075</v>
      </c>
      <c r="G52" s="79">
        <v>46113</v>
      </c>
      <c r="H52" s="77" t="s">
        <v>16</v>
      </c>
      <c r="I52" s="77" t="s">
        <v>17</v>
      </c>
      <c r="J52" s="77" t="s">
        <v>1076</v>
      </c>
      <c r="K52" s="80" t="s">
        <v>1069</v>
      </c>
    </row>
    <row r="53" spans="1:11" ht="15.75" customHeight="1">
      <c r="A53" s="95"/>
      <c r="B53" s="77" t="s">
        <v>1062</v>
      </c>
      <c r="C53" s="77" t="s">
        <v>30</v>
      </c>
      <c r="D53" s="77" t="s">
        <v>40</v>
      </c>
      <c r="E53" s="78" t="s">
        <v>1077</v>
      </c>
      <c r="F53" s="77" t="s">
        <v>1078</v>
      </c>
      <c r="G53" s="79">
        <v>46113</v>
      </c>
      <c r="H53" s="77" t="s">
        <v>16</v>
      </c>
      <c r="I53" s="77" t="s">
        <v>17</v>
      </c>
      <c r="J53" s="77" t="s">
        <v>1079</v>
      </c>
      <c r="K53" s="80" t="s">
        <v>1065</v>
      </c>
    </row>
    <row r="54" spans="1:11" ht="15.75" customHeight="1">
      <c r="A54" s="95"/>
      <c r="B54" s="77" t="s">
        <v>1062</v>
      </c>
      <c r="C54" s="77" t="s">
        <v>30</v>
      </c>
      <c r="D54" s="77" t="s">
        <v>43</v>
      </c>
      <c r="E54" s="78" t="s">
        <v>44</v>
      </c>
      <c r="F54" s="77" t="s">
        <v>1080</v>
      </c>
      <c r="G54" s="79">
        <v>46113</v>
      </c>
      <c r="H54" s="77" t="s">
        <v>16</v>
      </c>
      <c r="I54" s="77" t="s">
        <v>17</v>
      </c>
      <c r="J54" s="77" t="s">
        <v>1081</v>
      </c>
      <c r="K54" s="80" t="s">
        <v>1069</v>
      </c>
    </row>
    <row r="55" spans="1:11" ht="15.75" customHeight="1">
      <c r="A55" s="95"/>
      <c r="B55" s="77" t="s">
        <v>1062</v>
      </c>
      <c r="C55" s="77" t="s">
        <v>30</v>
      </c>
      <c r="D55" s="77" t="s">
        <v>47</v>
      </c>
      <c r="E55" s="78" t="s">
        <v>948</v>
      </c>
      <c r="F55" s="77" t="s">
        <v>1082</v>
      </c>
      <c r="G55" s="79">
        <v>46113</v>
      </c>
      <c r="H55" s="77" t="s">
        <v>16</v>
      </c>
      <c r="I55" s="77" t="s">
        <v>17</v>
      </c>
      <c r="J55" s="77" t="s">
        <v>1083</v>
      </c>
      <c r="K55" s="80" t="s">
        <v>1069</v>
      </c>
    </row>
    <row r="56" spans="1:11" ht="15.75" customHeight="1">
      <c r="A56" s="95"/>
      <c r="B56" s="77" t="s">
        <v>1062</v>
      </c>
      <c r="C56" s="77" t="s">
        <v>30</v>
      </c>
      <c r="D56" s="77" t="s">
        <v>52</v>
      </c>
      <c r="E56" s="78" t="s">
        <v>951</v>
      </c>
      <c r="F56" s="77" t="s">
        <v>952</v>
      </c>
      <c r="G56" s="79">
        <v>46113</v>
      </c>
      <c r="H56" s="77" t="s">
        <v>16</v>
      </c>
      <c r="I56" s="77" t="s">
        <v>17</v>
      </c>
      <c r="J56" s="77" t="s">
        <v>1084</v>
      </c>
      <c r="K56" s="80" t="s">
        <v>1069</v>
      </c>
    </row>
    <row r="57" spans="1:11" ht="15.75" customHeight="1">
      <c r="A57" s="95"/>
      <c r="B57" s="77" t="s">
        <v>1062</v>
      </c>
      <c r="C57" s="77" t="s">
        <v>30</v>
      </c>
      <c r="D57" s="77" t="s">
        <v>56</v>
      </c>
      <c r="E57" s="78" t="s">
        <v>1085</v>
      </c>
      <c r="F57" s="77" t="s">
        <v>1086</v>
      </c>
      <c r="G57" s="79">
        <v>46113</v>
      </c>
      <c r="H57" s="77" t="s">
        <v>16</v>
      </c>
      <c r="I57" s="77" t="s">
        <v>17</v>
      </c>
      <c r="J57" s="77" t="s">
        <v>1087</v>
      </c>
      <c r="K57" s="80" t="s">
        <v>1088</v>
      </c>
    </row>
    <row r="58" spans="1:11" ht="15.75" customHeight="1">
      <c r="A58" s="95"/>
      <c r="B58" s="77" t="s">
        <v>1062</v>
      </c>
      <c r="C58" s="77" t="s">
        <v>30</v>
      </c>
      <c r="D58" s="77" t="s">
        <v>61</v>
      </c>
      <c r="E58" s="78" t="s">
        <v>1089</v>
      </c>
      <c r="F58" s="77" t="s">
        <v>1090</v>
      </c>
      <c r="G58" s="79">
        <v>46113</v>
      </c>
      <c r="H58" s="77" t="s">
        <v>16</v>
      </c>
      <c r="I58" s="77" t="s">
        <v>17</v>
      </c>
      <c r="J58" s="77" t="s">
        <v>1091</v>
      </c>
      <c r="K58" s="80" t="s">
        <v>1074</v>
      </c>
    </row>
    <row r="59" spans="1:11" ht="15.75" customHeight="1">
      <c r="A59" s="95"/>
      <c r="B59" s="77" t="s">
        <v>1062</v>
      </c>
      <c r="C59" s="77" t="s">
        <v>65</v>
      </c>
      <c r="D59" s="77" t="s">
        <v>66</v>
      </c>
      <c r="E59" s="78" t="s">
        <v>67</v>
      </c>
      <c r="F59" s="77" t="s">
        <v>1092</v>
      </c>
      <c r="G59" s="79">
        <v>46113</v>
      </c>
      <c r="H59" s="77" t="s">
        <v>16</v>
      </c>
      <c r="I59" s="77" t="s">
        <v>17</v>
      </c>
      <c r="J59" s="77" t="s">
        <v>1093</v>
      </c>
      <c r="K59" s="80" t="s">
        <v>1074</v>
      </c>
    </row>
    <row r="60" spans="1:11" ht="15.75" customHeight="1">
      <c r="A60" s="95"/>
      <c r="B60" s="77" t="s">
        <v>1062</v>
      </c>
      <c r="C60" s="77" t="s">
        <v>65</v>
      </c>
      <c r="D60" s="77" t="s">
        <v>72</v>
      </c>
      <c r="E60" s="78" t="s">
        <v>157</v>
      </c>
      <c r="F60" s="77" t="s">
        <v>1094</v>
      </c>
      <c r="G60" s="79">
        <v>46113</v>
      </c>
      <c r="H60" s="77" t="s">
        <v>16</v>
      </c>
      <c r="I60" s="77" t="s">
        <v>17</v>
      </c>
      <c r="J60" s="77" t="s">
        <v>1083</v>
      </c>
      <c r="K60" s="80" t="s">
        <v>1069</v>
      </c>
    </row>
    <row r="61" spans="1:11" ht="15.75" customHeight="1">
      <c r="A61" s="95"/>
      <c r="B61" s="77" t="s">
        <v>1062</v>
      </c>
      <c r="C61" s="77" t="s">
        <v>65</v>
      </c>
      <c r="D61" s="77" t="s">
        <v>77</v>
      </c>
      <c r="E61" s="78" t="s">
        <v>1058</v>
      </c>
      <c r="F61" s="77" t="s">
        <v>1095</v>
      </c>
      <c r="G61" s="79">
        <v>46139</v>
      </c>
      <c r="H61" s="77" t="s">
        <v>139</v>
      </c>
      <c r="I61" s="77" t="s">
        <v>17</v>
      </c>
      <c r="J61" s="77" t="s">
        <v>1096</v>
      </c>
      <c r="K61" s="81" t="s">
        <v>1097</v>
      </c>
    </row>
    <row r="62" spans="1:11" ht="15.75" customHeight="1">
      <c r="A62" s="95"/>
      <c r="B62" s="77" t="s">
        <v>1062</v>
      </c>
      <c r="C62" s="77" t="s">
        <v>65</v>
      </c>
      <c r="D62" s="77" t="s">
        <v>81</v>
      </c>
      <c r="E62" s="78" t="s">
        <v>967</v>
      </c>
      <c r="F62" s="77" t="s">
        <v>1098</v>
      </c>
      <c r="G62" s="79">
        <v>46113</v>
      </c>
      <c r="H62" s="77" t="s">
        <v>16</v>
      </c>
      <c r="I62" s="77" t="s">
        <v>17</v>
      </c>
      <c r="J62" s="77" t="s">
        <v>1099</v>
      </c>
      <c r="K62" s="80" t="s">
        <v>1069</v>
      </c>
    </row>
    <row r="63" spans="1:11" ht="15.75" customHeight="1">
      <c r="A63" s="95"/>
      <c r="B63" s="77" t="s">
        <v>1062</v>
      </c>
      <c r="C63" s="77" t="s">
        <v>65</v>
      </c>
      <c r="D63" s="77" t="s">
        <v>91</v>
      </c>
      <c r="E63" s="78" t="s">
        <v>706</v>
      </c>
      <c r="F63" s="77" t="s">
        <v>1100</v>
      </c>
      <c r="G63" s="79">
        <v>46113</v>
      </c>
      <c r="H63" s="77" t="s">
        <v>16</v>
      </c>
      <c r="I63" s="77" t="s">
        <v>34</v>
      </c>
      <c r="J63" s="77" t="s">
        <v>1101</v>
      </c>
      <c r="K63" s="80" t="s">
        <v>1069</v>
      </c>
    </row>
    <row r="64" spans="1:11" ht="15.75" customHeight="1">
      <c r="A64" s="95"/>
      <c r="B64" s="77" t="s">
        <v>1062</v>
      </c>
      <c r="C64" s="77" t="s">
        <v>65</v>
      </c>
      <c r="D64" s="77" t="s">
        <v>95</v>
      </c>
      <c r="E64" s="78" t="s">
        <v>26</v>
      </c>
      <c r="F64" s="77" t="s">
        <v>1102</v>
      </c>
      <c r="G64" s="79">
        <v>46113</v>
      </c>
      <c r="H64" s="77" t="s">
        <v>16</v>
      </c>
      <c r="I64" s="77" t="s">
        <v>34</v>
      </c>
      <c r="J64" s="77" t="s">
        <v>1103</v>
      </c>
      <c r="K64" s="80" t="s">
        <v>1074</v>
      </c>
    </row>
    <row r="65" spans="1:11" ht="15.75" customHeight="1">
      <c r="A65" s="95"/>
      <c r="B65" s="77" t="s">
        <v>1062</v>
      </c>
      <c r="C65" s="77" t="s">
        <v>65</v>
      </c>
      <c r="D65" s="77" t="s">
        <v>100</v>
      </c>
      <c r="E65" s="78" t="s">
        <v>1034</v>
      </c>
      <c r="F65" s="77" t="s">
        <v>1104</v>
      </c>
      <c r="G65" s="79">
        <v>46139</v>
      </c>
      <c r="H65" s="77" t="s">
        <v>139</v>
      </c>
      <c r="I65" s="77" t="s">
        <v>1027</v>
      </c>
      <c r="J65" s="77" t="s">
        <v>1105</v>
      </c>
      <c r="K65" s="80" t="s">
        <v>1106</v>
      </c>
    </row>
    <row r="66" spans="1:11" ht="15.75" customHeight="1">
      <c r="A66" s="95"/>
      <c r="B66" s="77" t="s">
        <v>1062</v>
      </c>
      <c r="C66" s="77" t="s">
        <v>85</v>
      </c>
      <c r="D66" s="77" t="s">
        <v>86</v>
      </c>
      <c r="E66" s="78" t="s">
        <v>1107</v>
      </c>
      <c r="F66" s="77" t="s">
        <v>1108</v>
      </c>
      <c r="G66" s="79">
        <v>46113</v>
      </c>
      <c r="H66" s="77" t="s">
        <v>16</v>
      </c>
      <c r="I66" s="77" t="s">
        <v>34</v>
      </c>
      <c r="J66" s="77" t="s">
        <v>1109</v>
      </c>
      <c r="K66" s="80" t="s">
        <v>1110</v>
      </c>
    </row>
    <row r="67" spans="1:11" ht="15.75" customHeight="1">
      <c r="A67" s="95"/>
      <c r="B67" s="77" t="s">
        <v>1062</v>
      </c>
      <c r="C67" s="77" t="s">
        <v>85</v>
      </c>
      <c r="D67" s="77" t="s">
        <v>103</v>
      </c>
      <c r="E67" s="83" t="s">
        <v>1111</v>
      </c>
      <c r="F67" s="77" t="s">
        <v>1112</v>
      </c>
      <c r="G67" s="79">
        <v>46113</v>
      </c>
      <c r="H67" s="77" t="s">
        <v>334</v>
      </c>
      <c r="I67" s="82" t="s">
        <v>34</v>
      </c>
      <c r="J67" s="77" t="s">
        <v>1113</v>
      </c>
      <c r="K67" s="80" t="s">
        <v>1114</v>
      </c>
    </row>
    <row r="68" spans="1:11" ht="15.75" customHeight="1">
      <c r="A68" s="95"/>
      <c r="B68" s="77" t="s">
        <v>1062</v>
      </c>
      <c r="C68" s="77" t="s">
        <v>85</v>
      </c>
      <c r="D68" s="77" t="s">
        <v>108</v>
      </c>
      <c r="E68" s="78" t="s">
        <v>1115</v>
      </c>
      <c r="F68" s="77" t="s">
        <v>1116</v>
      </c>
      <c r="G68" s="79">
        <v>46139</v>
      </c>
      <c r="H68" s="77" t="s">
        <v>139</v>
      </c>
      <c r="I68" s="77" t="s">
        <v>17</v>
      </c>
      <c r="J68" s="77" t="s">
        <v>1117</v>
      </c>
      <c r="K68" s="80" t="s">
        <v>1118</v>
      </c>
    </row>
    <row r="69" spans="1:11" ht="15.75" customHeight="1">
      <c r="A69" s="95"/>
      <c r="B69" s="77" t="s">
        <v>1062</v>
      </c>
      <c r="C69" s="77" t="s">
        <v>112</v>
      </c>
      <c r="D69" s="77" t="s">
        <v>113</v>
      </c>
      <c r="E69" s="78" t="s">
        <v>1060</v>
      </c>
      <c r="F69" s="77" t="s">
        <v>1119</v>
      </c>
      <c r="G69" s="79">
        <v>46139</v>
      </c>
      <c r="H69" s="77" t="s">
        <v>139</v>
      </c>
      <c r="I69" s="77" t="s">
        <v>17</v>
      </c>
      <c r="J69" s="77" t="s">
        <v>1120</v>
      </c>
      <c r="K69" s="80" t="s">
        <v>1121</v>
      </c>
    </row>
    <row r="70" spans="1:11" ht="14.5" customHeight="1">
      <c r="A70" s="95"/>
      <c r="B70" s="77" t="s">
        <v>1062</v>
      </c>
      <c r="C70" s="77" t="s">
        <v>112</v>
      </c>
      <c r="D70" s="77" t="s">
        <v>118</v>
      </c>
      <c r="E70" s="78" t="s">
        <v>987</v>
      </c>
      <c r="F70" s="77" t="s">
        <v>1122</v>
      </c>
      <c r="G70" s="79">
        <v>46113</v>
      </c>
      <c r="H70" s="77" t="s">
        <v>16</v>
      </c>
      <c r="I70" s="77" t="s">
        <v>17</v>
      </c>
      <c r="J70" s="77" t="s">
        <v>1123</v>
      </c>
      <c r="K70" s="80" t="s">
        <v>1069</v>
      </c>
    </row>
    <row r="71" spans="1:11" ht="14.5" customHeight="1">
      <c r="A71" s="94">
        <v>4</v>
      </c>
      <c r="B71" s="77" t="s">
        <v>11</v>
      </c>
      <c r="C71" s="77" t="s">
        <v>12</v>
      </c>
      <c r="D71" s="77" t="s">
        <v>13</v>
      </c>
      <c r="E71" s="78" t="s">
        <v>14</v>
      </c>
      <c r="F71" s="77" t="s">
        <v>15</v>
      </c>
      <c r="G71" s="79">
        <v>46139</v>
      </c>
      <c r="H71" s="77" t="s">
        <v>16</v>
      </c>
      <c r="I71" s="77" t="s">
        <v>17</v>
      </c>
      <c r="J71" s="77" t="s">
        <v>18</v>
      </c>
      <c r="K71" s="84" t="s">
        <v>19</v>
      </c>
    </row>
    <row r="72" spans="1:11" ht="14.5" customHeight="1">
      <c r="A72" s="95"/>
      <c r="B72" s="77" t="s">
        <v>11</v>
      </c>
      <c r="C72" s="77" t="s">
        <v>12</v>
      </c>
      <c r="D72" s="77" t="s">
        <v>20</v>
      </c>
      <c r="E72" s="78" t="s">
        <v>21</v>
      </c>
      <c r="F72" s="77" t="s">
        <v>22</v>
      </c>
      <c r="G72" s="79">
        <v>46139</v>
      </c>
      <c r="H72" s="77" t="s">
        <v>16</v>
      </c>
      <c r="I72" s="77" t="s">
        <v>17</v>
      </c>
      <c r="J72" s="77" t="s">
        <v>23</v>
      </c>
      <c r="K72" s="97" t="s">
        <v>24</v>
      </c>
    </row>
    <row r="73" spans="1:11" ht="14.5" customHeight="1">
      <c r="A73" s="95"/>
      <c r="B73" s="77" t="s">
        <v>11</v>
      </c>
      <c r="C73" s="77" t="s">
        <v>12</v>
      </c>
      <c r="D73" s="77" t="s">
        <v>25</v>
      </c>
      <c r="E73" s="78" t="s">
        <v>26</v>
      </c>
      <c r="F73" s="77" t="s">
        <v>27</v>
      </c>
      <c r="G73" s="79">
        <v>46139</v>
      </c>
      <c r="H73" s="77" t="s">
        <v>16</v>
      </c>
      <c r="I73" s="77" t="s">
        <v>28</v>
      </c>
      <c r="J73" s="77" t="s">
        <v>29</v>
      </c>
      <c r="K73" s="95"/>
    </row>
    <row r="74" spans="1:11" ht="14.5" customHeight="1">
      <c r="A74" s="95"/>
      <c r="B74" s="77" t="s">
        <v>11</v>
      </c>
      <c r="C74" s="77" t="s">
        <v>30</v>
      </c>
      <c r="D74" s="77" t="s">
        <v>31</v>
      </c>
      <c r="E74" s="78" t="s">
        <v>32</v>
      </c>
      <c r="F74" s="77" t="s">
        <v>33</v>
      </c>
      <c r="G74" s="79">
        <v>46139</v>
      </c>
      <c r="H74" s="77" t="s">
        <v>16</v>
      </c>
      <c r="I74" s="77" t="s">
        <v>34</v>
      </c>
      <c r="J74" s="77" t="s">
        <v>35</v>
      </c>
      <c r="K74" s="84" t="s">
        <v>19</v>
      </c>
    </row>
    <row r="75" spans="1:11" ht="14.5" customHeight="1">
      <c r="A75" s="95"/>
      <c r="B75" s="77" t="s">
        <v>11</v>
      </c>
      <c r="C75" s="77" t="s">
        <v>30</v>
      </c>
      <c r="D75" s="77" t="s">
        <v>36</v>
      </c>
      <c r="E75" s="78" t="s">
        <v>37</v>
      </c>
      <c r="F75" s="77" t="s">
        <v>38</v>
      </c>
      <c r="G75" s="79">
        <v>46139</v>
      </c>
      <c r="H75" s="77" t="s">
        <v>16</v>
      </c>
      <c r="I75" s="77" t="s">
        <v>34</v>
      </c>
      <c r="J75" s="77" t="s">
        <v>39</v>
      </c>
      <c r="K75" s="84" t="s">
        <v>24</v>
      </c>
    </row>
    <row r="76" spans="1:11" ht="14.5" customHeight="1">
      <c r="A76" s="95"/>
      <c r="B76" s="77" t="s">
        <v>11</v>
      </c>
      <c r="C76" s="77" t="s">
        <v>30</v>
      </c>
      <c r="D76" s="77" t="s">
        <v>40</v>
      </c>
      <c r="E76" s="78" t="s">
        <v>26</v>
      </c>
      <c r="F76" s="77" t="s">
        <v>41</v>
      </c>
      <c r="G76" s="79">
        <v>46139</v>
      </c>
      <c r="H76" s="77" t="s">
        <v>16</v>
      </c>
      <c r="I76" s="77" t="s">
        <v>28</v>
      </c>
      <c r="J76" s="77" t="s">
        <v>42</v>
      </c>
      <c r="K76" s="84" t="s">
        <v>19</v>
      </c>
    </row>
    <row r="77" spans="1:11" ht="14.5" customHeight="1">
      <c r="A77" s="95"/>
      <c r="B77" s="77" t="s">
        <v>11</v>
      </c>
      <c r="C77" s="77" t="s">
        <v>30</v>
      </c>
      <c r="D77" s="77" t="s">
        <v>43</v>
      </c>
      <c r="E77" s="78" t="s">
        <v>44</v>
      </c>
      <c r="F77" s="77" t="s">
        <v>45</v>
      </c>
      <c r="G77" s="79">
        <v>46139</v>
      </c>
      <c r="H77" s="77" t="s">
        <v>16</v>
      </c>
      <c r="I77" s="77" t="s">
        <v>17</v>
      </c>
      <c r="J77" s="77" t="s">
        <v>46</v>
      </c>
      <c r="K77" s="84" t="s">
        <v>24</v>
      </c>
    </row>
    <row r="78" spans="1:11" ht="14.5" customHeight="1">
      <c r="A78" s="95"/>
      <c r="B78" s="77" t="s">
        <v>11</v>
      </c>
      <c r="C78" s="77" t="s">
        <v>30</v>
      </c>
      <c r="D78" s="77" t="s">
        <v>47</v>
      </c>
      <c r="E78" s="78" t="s">
        <v>48</v>
      </c>
      <c r="F78" s="77" t="s">
        <v>49</v>
      </c>
      <c r="G78" s="79">
        <v>46139</v>
      </c>
      <c r="H78" s="77" t="s">
        <v>16</v>
      </c>
      <c r="I78" s="77" t="s">
        <v>17</v>
      </c>
      <c r="J78" s="77" t="s">
        <v>50</v>
      </c>
      <c r="K78" s="84" t="s">
        <v>51</v>
      </c>
    </row>
    <row r="79" spans="1:11" ht="14.5" customHeight="1">
      <c r="A79" s="95"/>
      <c r="B79" s="77" t="s">
        <v>11</v>
      </c>
      <c r="C79" s="77" t="s">
        <v>30</v>
      </c>
      <c r="D79" s="77" t="s">
        <v>52</v>
      </c>
      <c r="E79" s="78" t="s">
        <v>53</v>
      </c>
      <c r="F79" s="77" t="s">
        <v>54</v>
      </c>
      <c r="G79" s="79">
        <v>46139</v>
      </c>
      <c r="H79" s="77" t="s">
        <v>16</v>
      </c>
      <c r="I79" s="77" t="s">
        <v>17</v>
      </c>
      <c r="J79" s="77" t="s">
        <v>55</v>
      </c>
      <c r="K79" s="84" t="s">
        <v>19</v>
      </c>
    </row>
    <row r="80" spans="1:11" ht="14.5" customHeight="1">
      <c r="A80" s="95"/>
      <c r="B80" s="77" t="s">
        <v>11</v>
      </c>
      <c r="C80" s="77" t="s">
        <v>30</v>
      </c>
      <c r="D80" s="77" t="s">
        <v>56</v>
      </c>
      <c r="E80" s="78" t="s">
        <v>57</v>
      </c>
      <c r="F80" s="77" t="s">
        <v>58</v>
      </c>
      <c r="G80" s="79">
        <v>46139</v>
      </c>
      <c r="H80" s="77" t="s">
        <v>16</v>
      </c>
      <c r="I80" s="77" t="s">
        <v>34</v>
      </c>
      <c r="J80" s="77" t="s">
        <v>59</v>
      </c>
      <c r="K80" s="84" t="s">
        <v>60</v>
      </c>
    </row>
    <row r="81" spans="1:11" ht="14.5" customHeight="1">
      <c r="A81" s="95"/>
      <c r="B81" s="77" t="s">
        <v>11</v>
      </c>
      <c r="C81" s="77" t="s">
        <v>30</v>
      </c>
      <c r="D81" s="77" t="s">
        <v>61</v>
      </c>
      <c r="E81" s="78" t="s">
        <v>62</v>
      </c>
      <c r="F81" s="77" t="s">
        <v>63</v>
      </c>
      <c r="G81" s="79">
        <v>46139</v>
      </c>
      <c r="H81" s="77" t="s">
        <v>16</v>
      </c>
      <c r="I81" s="77" t="s">
        <v>17</v>
      </c>
      <c r="J81" s="77" t="s">
        <v>64</v>
      </c>
      <c r="K81" s="84" t="s">
        <v>19</v>
      </c>
    </row>
    <row r="82" spans="1:11" ht="14.5" customHeight="1">
      <c r="A82" s="95"/>
      <c r="B82" s="77" t="s">
        <v>11</v>
      </c>
      <c r="C82" s="77" t="s">
        <v>65</v>
      </c>
      <c r="D82" s="77" t="s">
        <v>66</v>
      </c>
      <c r="E82" s="78" t="s">
        <v>67</v>
      </c>
      <c r="F82" s="77" t="s">
        <v>68</v>
      </c>
      <c r="G82" s="79">
        <v>46139</v>
      </c>
      <c r="H82" s="77" t="s">
        <v>69</v>
      </c>
      <c r="I82" s="77" t="s">
        <v>34</v>
      </c>
      <c r="J82" s="77" t="s">
        <v>70</v>
      </c>
      <c r="K82" s="84" t="s">
        <v>71</v>
      </c>
    </row>
    <row r="83" spans="1:11" ht="14.5" customHeight="1">
      <c r="A83" s="95"/>
      <c r="B83" s="77" t="s">
        <v>11</v>
      </c>
      <c r="C83" s="77" t="s">
        <v>65</v>
      </c>
      <c r="D83" s="77" t="s">
        <v>72</v>
      </c>
      <c r="E83" s="78" t="s">
        <v>73</v>
      </c>
      <c r="F83" s="77" t="s">
        <v>74</v>
      </c>
      <c r="G83" s="79">
        <v>46139</v>
      </c>
      <c r="H83" s="77" t="s">
        <v>16</v>
      </c>
      <c r="I83" s="77" t="s">
        <v>17</v>
      </c>
      <c r="J83" s="77" t="s">
        <v>75</v>
      </c>
      <c r="K83" s="97" t="s">
        <v>76</v>
      </c>
    </row>
    <row r="84" spans="1:11" ht="14.5" customHeight="1">
      <c r="A84" s="95"/>
      <c r="B84" s="77" t="s">
        <v>11</v>
      </c>
      <c r="C84" s="77" t="s">
        <v>65</v>
      </c>
      <c r="D84" s="77" t="s">
        <v>77</v>
      </c>
      <c r="E84" s="78" t="s">
        <v>78</v>
      </c>
      <c r="F84" s="77" t="s">
        <v>79</v>
      </c>
      <c r="G84" s="79">
        <v>46139</v>
      </c>
      <c r="H84" s="77" t="s">
        <v>16</v>
      </c>
      <c r="I84" s="77" t="s">
        <v>17</v>
      </c>
      <c r="J84" s="77" t="s">
        <v>80</v>
      </c>
      <c r="K84" s="95"/>
    </row>
    <row r="85" spans="1:11" ht="14.5" customHeight="1">
      <c r="A85" s="95"/>
      <c r="B85" s="77" t="s">
        <v>11</v>
      </c>
      <c r="C85" s="77" t="s">
        <v>65</v>
      </c>
      <c r="D85" s="77" t="s">
        <v>81</v>
      </c>
      <c r="E85" s="78" t="s">
        <v>82</v>
      </c>
      <c r="F85" s="77" t="s">
        <v>83</v>
      </c>
      <c r="G85" s="79">
        <v>46139</v>
      </c>
      <c r="H85" s="77" t="s">
        <v>16</v>
      </c>
      <c r="I85" s="77" t="s">
        <v>17</v>
      </c>
      <c r="J85" s="77" t="s">
        <v>84</v>
      </c>
      <c r="K85" s="84" t="s">
        <v>24</v>
      </c>
    </row>
    <row r="86" spans="1:11" ht="14.5" customHeight="1">
      <c r="A86" s="95"/>
      <c r="B86" s="77" t="s">
        <v>11</v>
      </c>
      <c r="C86" s="77" t="s">
        <v>85</v>
      </c>
      <c r="D86" s="77" t="s">
        <v>86</v>
      </c>
      <c r="E86" s="78" t="s">
        <v>87</v>
      </c>
      <c r="F86" s="77" t="s">
        <v>88</v>
      </c>
      <c r="G86" s="79">
        <v>46139</v>
      </c>
      <c r="H86" s="77" t="s">
        <v>16</v>
      </c>
      <c r="I86" s="77" t="s">
        <v>17</v>
      </c>
      <c r="J86" s="77" t="s">
        <v>89</v>
      </c>
      <c r="K86" s="84" t="s">
        <v>90</v>
      </c>
    </row>
    <row r="87" spans="1:11" ht="14.5" customHeight="1">
      <c r="A87" s="95"/>
      <c r="B87" s="77" t="s">
        <v>11</v>
      </c>
      <c r="C87" s="77" t="s">
        <v>65</v>
      </c>
      <c r="D87" s="77" t="s">
        <v>91</v>
      </c>
      <c r="E87" s="78" t="s">
        <v>92</v>
      </c>
      <c r="F87" s="77" t="s">
        <v>93</v>
      </c>
      <c r="G87" s="79">
        <v>46139</v>
      </c>
      <c r="H87" s="77" t="s">
        <v>16</v>
      </c>
      <c r="I87" s="77" t="s">
        <v>17</v>
      </c>
      <c r="J87" s="77" t="s">
        <v>94</v>
      </c>
      <c r="K87" s="84" t="s">
        <v>19</v>
      </c>
    </row>
    <row r="88" spans="1:11" ht="14.5" customHeight="1">
      <c r="A88" s="95"/>
      <c r="B88" s="77" t="s">
        <v>11</v>
      </c>
      <c r="C88" s="77" t="s">
        <v>65</v>
      </c>
      <c r="D88" s="77" t="s">
        <v>95</v>
      </c>
      <c r="E88" s="78" t="s">
        <v>96</v>
      </c>
      <c r="F88" s="77" t="s">
        <v>97</v>
      </c>
      <c r="G88" s="79">
        <v>46139</v>
      </c>
      <c r="H88" s="77" t="s">
        <v>16</v>
      </c>
      <c r="I88" s="77" t="s">
        <v>17</v>
      </c>
      <c r="J88" s="77" t="s">
        <v>98</v>
      </c>
      <c r="K88" s="84" t="s">
        <v>99</v>
      </c>
    </row>
    <row r="89" spans="1:11" ht="14.5" customHeight="1">
      <c r="A89" s="95"/>
      <c r="B89" s="77" t="s">
        <v>11</v>
      </c>
      <c r="C89" s="77" t="s">
        <v>65</v>
      </c>
      <c r="D89" s="77" t="s">
        <v>100</v>
      </c>
      <c r="E89" s="78" t="s">
        <v>26</v>
      </c>
      <c r="F89" s="77" t="s">
        <v>101</v>
      </c>
      <c r="G89" s="79">
        <v>46139</v>
      </c>
      <c r="H89" s="77" t="s">
        <v>16</v>
      </c>
      <c r="I89" s="77" t="s">
        <v>28</v>
      </c>
      <c r="J89" s="77" t="s">
        <v>102</v>
      </c>
      <c r="K89" s="84" t="s">
        <v>90</v>
      </c>
    </row>
    <row r="90" spans="1:11" ht="14.5" customHeight="1">
      <c r="A90" s="95"/>
      <c r="B90" s="77" t="s">
        <v>11</v>
      </c>
      <c r="C90" s="77" t="s">
        <v>85</v>
      </c>
      <c r="D90" s="77" t="s">
        <v>103</v>
      </c>
      <c r="E90" s="83" t="s">
        <v>104</v>
      </c>
      <c r="F90" s="77" t="s">
        <v>105</v>
      </c>
      <c r="G90" s="79">
        <v>46139</v>
      </c>
      <c r="H90" s="77" t="s">
        <v>16</v>
      </c>
      <c r="I90" s="82" t="s">
        <v>17</v>
      </c>
      <c r="J90" s="77" t="s">
        <v>106</v>
      </c>
      <c r="K90" s="84" t="s">
        <v>107</v>
      </c>
    </row>
    <row r="91" spans="1:11" ht="14.5" customHeight="1">
      <c r="A91" s="95"/>
      <c r="B91" s="77" t="s">
        <v>11</v>
      </c>
      <c r="C91" s="77" t="s">
        <v>85</v>
      </c>
      <c r="D91" s="77" t="s">
        <v>108</v>
      </c>
      <c r="E91" s="78" t="s">
        <v>109</v>
      </c>
      <c r="F91" s="77" t="s">
        <v>110</v>
      </c>
      <c r="G91" s="79">
        <v>46139</v>
      </c>
      <c r="H91" s="77" t="s">
        <v>16</v>
      </c>
      <c r="I91" s="77" t="s">
        <v>17</v>
      </c>
      <c r="J91" s="77" t="s">
        <v>111</v>
      </c>
      <c r="K91" s="84" t="s">
        <v>90</v>
      </c>
    </row>
    <row r="92" spans="1:11" ht="14.5" customHeight="1">
      <c r="A92" s="95"/>
      <c r="B92" s="77" t="s">
        <v>11</v>
      </c>
      <c r="C92" s="77" t="s">
        <v>112</v>
      </c>
      <c r="D92" s="77" t="s">
        <v>113</v>
      </c>
      <c r="E92" s="78" t="s">
        <v>114</v>
      </c>
      <c r="F92" s="77" t="s">
        <v>115</v>
      </c>
      <c r="G92" s="79">
        <v>46139</v>
      </c>
      <c r="H92" s="77" t="s">
        <v>16</v>
      </c>
      <c r="I92" s="77" t="s">
        <v>17</v>
      </c>
      <c r="J92" s="77" t="s">
        <v>116</v>
      </c>
      <c r="K92" s="84" t="s">
        <v>117</v>
      </c>
    </row>
    <row r="93" spans="1:11" ht="14.5" customHeight="1">
      <c r="A93" s="95"/>
      <c r="B93" s="77" t="s">
        <v>11</v>
      </c>
      <c r="C93" s="77" t="s">
        <v>112</v>
      </c>
      <c r="D93" s="77" t="s">
        <v>118</v>
      </c>
      <c r="E93" s="78" t="s">
        <v>119</v>
      </c>
      <c r="F93" s="77" t="s">
        <v>120</v>
      </c>
      <c r="G93" s="79">
        <v>46139</v>
      </c>
      <c r="H93" s="77" t="s">
        <v>16</v>
      </c>
      <c r="I93" s="77" t="s">
        <v>17</v>
      </c>
      <c r="J93" s="77" t="s">
        <v>121</v>
      </c>
      <c r="K93" s="84" t="s">
        <v>122</v>
      </c>
    </row>
    <row r="94" spans="1:11" ht="14.5" customHeight="1">
      <c r="A94" s="94">
        <v>5</v>
      </c>
      <c r="B94" s="77" t="s">
        <v>123</v>
      </c>
      <c r="C94" s="77" t="s">
        <v>12</v>
      </c>
      <c r="D94" s="77" t="s">
        <v>13</v>
      </c>
      <c r="E94" s="78" t="s">
        <v>124</v>
      </c>
      <c r="F94" s="77" t="s">
        <v>125</v>
      </c>
      <c r="G94" s="79">
        <v>46139</v>
      </c>
      <c r="H94" s="77" t="s">
        <v>16</v>
      </c>
      <c r="I94" s="77" t="s">
        <v>17</v>
      </c>
      <c r="J94" s="77" t="s">
        <v>126</v>
      </c>
      <c r="K94" s="97" t="s">
        <v>127</v>
      </c>
    </row>
    <row r="95" spans="1:11" ht="14.5" customHeight="1">
      <c r="A95" s="95"/>
      <c r="B95" s="77" t="s">
        <v>123</v>
      </c>
      <c r="C95" s="77" t="s">
        <v>12</v>
      </c>
      <c r="D95" s="77" t="s">
        <v>20</v>
      </c>
      <c r="E95" s="78" t="s">
        <v>128</v>
      </c>
      <c r="F95" s="77" t="s">
        <v>129</v>
      </c>
      <c r="G95" s="79">
        <v>46139</v>
      </c>
      <c r="H95" s="77" t="s">
        <v>16</v>
      </c>
      <c r="I95" s="77" t="s">
        <v>17</v>
      </c>
      <c r="J95" s="77" t="s">
        <v>130</v>
      </c>
      <c r="K95" s="95"/>
    </row>
    <row r="96" spans="1:11" ht="14.5" customHeight="1">
      <c r="A96" s="95"/>
      <c r="B96" s="77" t="s">
        <v>123</v>
      </c>
      <c r="C96" s="77" t="s">
        <v>12</v>
      </c>
      <c r="D96" s="77" t="s">
        <v>25</v>
      </c>
      <c r="E96" s="78" t="s">
        <v>26</v>
      </c>
      <c r="F96" s="77" t="s">
        <v>131</v>
      </c>
      <c r="G96" s="79">
        <v>46139</v>
      </c>
      <c r="H96" s="77" t="s">
        <v>16</v>
      </c>
      <c r="I96" s="77" t="s">
        <v>28</v>
      </c>
      <c r="J96" s="77" t="s">
        <v>29</v>
      </c>
      <c r="K96" s="95"/>
    </row>
    <row r="97" spans="1:11" ht="14.5" customHeight="1">
      <c r="A97" s="95"/>
      <c r="B97" s="77" t="s">
        <v>123</v>
      </c>
      <c r="C97" s="77" t="s">
        <v>30</v>
      </c>
      <c r="D97" s="77" t="s">
        <v>31</v>
      </c>
      <c r="E97" s="78" t="s">
        <v>32</v>
      </c>
      <c r="F97" s="77" t="s">
        <v>132</v>
      </c>
      <c r="G97" s="79">
        <v>46139</v>
      </c>
      <c r="H97" s="77" t="s">
        <v>16</v>
      </c>
      <c r="I97" s="77" t="s">
        <v>17</v>
      </c>
      <c r="J97" s="77" t="s">
        <v>133</v>
      </c>
      <c r="K97" s="84" t="s">
        <v>134</v>
      </c>
    </row>
    <row r="98" spans="1:11" ht="14.5" customHeight="1">
      <c r="A98" s="95"/>
      <c r="B98" s="77" t="s">
        <v>123</v>
      </c>
      <c r="C98" s="77" t="s">
        <v>30</v>
      </c>
      <c r="D98" s="77" t="s">
        <v>36</v>
      </c>
      <c r="E98" s="78" t="s">
        <v>135</v>
      </c>
      <c r="F98" s="77" t="s">
        <v>136</v>
      </c>
      <c r="G98" s="79">
        <v>46139</v>
      </c>
      <c r="H98" s="77" t="s">
        <v>16</v>
      </c>
      <c r="I98" s="77" t="s">
        <v>17</v>
      </c>
      <c r="J98" s="77" t="s">
        <v>137</v>
      </c>
      <c r="K98" s="84" t="s">
        <v>127</v>
      </c>
    </row>
    <row r="99" spans="1:11" ht="14.5" customHeight="1">
      <c r="A99" s="95"/>
      <c r="B99" s="77" t="s">
        <v>123</v>
      </c>
      <c r="C99" s="77" t="s">
        <v>30</v>
      </c>
      <c r="D99" s="77" t="s">
        <v>40</v>
      </c>
      <c r="E99" s="78" t="s">
        <v>26</v>
      </c>
      <c r="F99" s="77" t="s">
        <v>366</v>
      </c>
      <c r="G99" s="79" t="s">
        <v>138</v>
      </c>
      <c r="H99" s="77" t="s">
        <v>139</v>
      </c>
      <c r="I99" s="77" t="s">
        <v>28</v>
      </c>
      <c r="J99" s="77" t="s">
        <v>140</v>
      </c>
      <c r="K99" s="84" t="s">
        <v>127</v>
      </c>
    </row>
    <row r="100" spans="1:11" ht="14.5" customHeight="1">
      <c r="A100" s="95"/>
      <c r="B100" s="77" t="s">
        <v>123</v>
      </c>
      <c r="C100" s="77" t="s">
        <v>30</v>
      </c>
      <c r="D100" s="77" t="s">
        <v>43</v>
      </c>
      <c r="E100" s="78" t="s">
        <v>44</v>
      </c>
      <c r="F100" s="77" t="s">
        <v>141</v>
      </c>
      <c r="G100" s="79">
        <v>46139</v>
      </c>
      <c r="H100" s="77" t="s">
        <v>16</v>
      </c>
      <c r="I100" s="77" t="s">
        <v>17</v>
      </c>
      <c r="J100" s="77" t="s">
        <v>142</v>
      </c>
      <c r="K100" s="84" t="s">
        <v>134</v>
      </c>
    </row>
    <row r="101" spans="1:11" ht="14.5" customHeight="1">
      <c r="A101" s="95"/>
      <c r="B101" s="77" t="s">
        <v>123</v>
      </c>
      <c r="C101" s="77" t="s">
        <v>30</v>
      </c>
      <c r="D101" s="77" t="s">
        <v>47</v>
      </c>
      <c r="E101" s="78" t="s">
        <v>48</v>
      </c>
      <c r="F101" s="77" t="s">
        <v>143</v>
      </c>
      <c r="G101" s="79">
        <v>46139</v>
      </c>
      <c r="H101" s="77" t="s">
        <v>16</v>
      </c>
      <c r="I101" s="77" t="s">
        <v>17</v>
      </c>
      <c r="J101" s="77" t="s">
        <v>144</v>
      </c>
      <c r="K101" s="84" t="s">
        <v>145</v>
      </c>
    </row>
    <row r="102" spans="1:11" ht="14.5" customHeight="1">
      <c r="A102" s="95"/>
      <c r="B102" s="77" t="s">
        <v>123</v>
      </c>
      <c r="C102" s="77" t="s">
        <v>30</v>
      </c>
      <c r="D102" s="77" t="s">
        <v>52</v>
      </c>
      <c r="E102" s="78" t="s">
        <v>53</v>
      </c>
      <c r="F102" s="77" t="s">
        <v>146</v>
      </c>
      <c r="G102" s="79">
        <v>46139</v>
      </c>
      <c r="H102" s="77" t="s">
        <v>16</v>
      </c>
      <c r="I102" s="77" t="s">
        <v>17</v>
      </c>
      <c r="J102" s="77" t="s">
        <v>147</v>
      </c>
      <c r="K102" s="84" t="s">
        <v>148</v>
      </c>
    </row>
    <row r="103" spans="1:11" ht="14.5" customHeight="1">
      <c r="A103" s="95"/>
      <c r="B103" s="77" t="s">
        <v>123</v>
      </c>
      <c r="C103" s="77" t="s">
        <v>30</v>
      </c>
      <c r="D103" s="77" t="s">
        <v>56</v>
      </c>
      <c r="E103" s="78" t="s">
        <v>149</v>
      </c>
      <c r="F103" s="77" t="s">
        <v>150</v>
      </c>
      <c r="G103" s="79">
        <v>46139</v>
      </c>
      <c r="H103" s="77" t="s">
        <v>16</v>
      </c>
      <c r="I103" s="77" t="s">
        <v>17</v>
      </c>
      <c r="J103" s="77" t="s">
        <v>151</v>
      </c>
      <c r="K103" s="84" t="s">
        <v>134</v>
      </c>
    </row>
    <row r="104" spans="1:11" ht="14.5" customHeight="1">
      <c r="A104" s="95"/>
      <c r="B104" s="77" t="s">
        <v>123</v>
      </c>
      <c r="C104" s="77" t="s">
        <v>30</v>
      </c>
      <c r="D104" s="77" t="s">
        <v>61</v>
      </c>
      <c r="E104" s="78" t="s">
        <v>62</v>
      </c>
      <c r="F104" s="77" t="s">
        <v>152</v>
      </c>
      <c r="G104" s="79">
        <v>46139</v>
      </c>
      <c r="H104" s="77" t="s">
        <v>16</v>
      </c>
      <c r="I104" s="77" t="s">
        <v>17</v>
      </c>
      <c r="J104" s="77" t="s">
        <v>153</v>
      </c>
      <c r="K104" s="84" t="s">
        <v>154</v>
      </c>
    </row>
    <row r="105" spans="1:11" ht="14.5" customHeight="1">
      <c r="A105" s="95"/>
      <c r="B105" s="77" t="s">
        <v>123</v>
      </c>
      <c r="C105" s="77" t="s">
        <v>65</v>
      </c>
      <c r="D105" s="77" t="s">
        <v>66</v>
      </c>
      <c r="E105" s="78" t="s">
        <v>67</v>
      </c>
      <c r="F105" s="77" t="s">
        <v>155</v>
      </c>
      <c r="G105" s="79">
        <v>46139</v>
      </c>
      <c r="H105" s="77" t="s">
        <v>16</v>
      </c>
      <c r="I105" s="77" t="s">
        <v>34</v>
      </c>
      <c r="J105" s="77" t="s">
        <v>156</v>
      </c>
      <c r="K105" s="84" t="s">
        <v>134</v>
      </c>
    </row>
    <row r="106" spans="1:11" ht="14.5" customHeight="1">
      <c r="A106" s="95"/>
      <c r="B106" s="77" t="s">
        <v>123</v>
      </c>
      <c r="C106" s="77" t="s">
        <v>65</v>
      </c>
      <c r="D106" s="77" t="s">
        <v>72</v>
      </c>
      <c r="E106" s="78" t="s">
        <v>157</v>
      </c>
      <c r="F106" s="77" t="s">
        <v>158</v>
      </c>
      <c r="G106" s="79">
        <v>46139</v>
      </c>
      <c r="H106" s="77" t="s">
        <v>16</v>
      </c>
      <c r="I106" s="77" t="s">
        <v>17</v>
      </c>
      <c r="J106" s="77" t="s">
        <v>159</v>
      </c>
      <c r="K106" s="84" t="s">
        <v>145</v>
      </c>
    </row>
    <row r="107" spans="1:11" ht="14.5" customHeight="1">
      <c r="A107" s="95"/>
      <c r="B107" s="77" t="s">
        <v>123</v>
      </c>
      <c r="C107" s="77" t="s">
        <v>65</v>
      </c>
      <c r="D107" s="77" t="s">
        <v>77</v>
      </c>
      <c r="E107" s="78" t="s">
        <v>78</v>
      </c>
      <c r="F107" s="77" t="s">
        <v>160</v>
      </c>
      <c r="G107" s="79">
        <v>46139</v>
      </c>
      <c r="H107" s="77" t="s">
        <v>16</v>
      </c>
      <c r="I107" s="77" t="s">
        <v>17</v>
      </c>
      <c r="J107" s="77" t="s">
        <v>161</v>
      </c>
      <c r="K107" s="84" t="s">
        <v>154</v>
      </c>
    </row>
    <row r="108" spans="1:11" ht="14.5" customHeight="1">
      <c r="A108" s="95"/>
      <c r="B108" s="77" t="s">
        <v>123</v>
      </c>
      <c r="C108" s="77" t="s">
        <v>65</v>
      </c>
      <c r="D108" s="77" t="s">
        <v>81</v>
      </c>
      <c r="E108" s="78" t="s">
        <v>82</v>
      </c>
      <c r="F108" s="77" t="s">
        <v>162</v>
      </c>
      <c r="G108" s="79">
        <v>46139</v>
      </c>
      <c r="H108" s="77" t="s">
        <v>16</v>
      </c>
      <c r="I108" s="77" t="s">
        <v>17</v>
      </c>
      <c r="J108" s="77" t="s">
        <v>163</v>
      </c>
      <c r="K108" s="97" t="s">
        <v>164</v>
      </c>
    </row>
    <row r="109" spans="1:11" ht="14.5" customHeight="1">
      <c r="A109" s="95"/>
      <c r="B109" s="77" t="s">
        <v>123</v>
      </c>
      <c r="C109" s="77" t="s">
        <v>85</v>
      </c>
      <c r="D109" s="77" t="s">
        <v>86</v>
      </c>
      <c r="E109" s="78" t="s">
        <v>165</v>
      </c>
      <c r="F109" s="77" t="s">
        <v>166</v>
      </c>
      <c r="G109" s="79">
        <v>46139</v>
      </c>
      <c r="H109" s="77" t="s">
        <v>16</v>
      </c>
      <c r="I109" s="77" t="s">
        <v>17</v>
      </c>
      <c r="J109" s="77" t="s">
        <v>167</v>
      </c>
      <c r="K109" s="95"/>
    </row>
    <row r="110" spans="1:11" ht="14.5" customHeight="1">
      <c r="A110" s="95"/>
      <c r="B110" s="77" t="s">
        <v>123</v>
      </c>
      <c r="C110" s="77" t="s">
        <v>65</v>
      </c>
      <c r="D110" s="77" t="s">
        <v>91</v>
      </c>
      <c r="E110" s="78" t="s">
        <v>92</v>
      </c>
      <c r="F110" s="77" t="s">
        <v>168</v>
      </c>
      <c r="G110" s="79">
        <v>46139</v>
      </c>
      <c r="H110" s="77" t="s">
        <v>16</v>
      </c>
      <c r="I110" s="77" t="s">
        <v>17</v>
      </c>
      <c r="J110" s="77" t="s">
        <v>169</v>
      </c>
      <c r="K110" s="97" t="s">
        <v>148</v>
      </c>
    </row>
    <row r="111" spans="1:11" ht="14.5" customHeight="1">
      <c r="A111" s="95"/>
      <c r="B111" s="77" t="s">
        <v>123</v>
      </c>
      <c r="C111" s="77" t="s">
        <v>65</v>
      </c>
      <c r="D111" s="77" t="s">
        <v>95</v>
      </c>
      <c r="E111" s="78" t="s">
        <v>96</v>
      </c>
      <c r="F111" s="77" t="s">
        <v>170</v>
      </c>
      <c r="G111" s="79">
        <v>46139</v>
      </c>
      <c r="H111" s="77" t="s">
        <v>16</v>
      </c>
      <c r="I111" s="77" t="s">
        <v>17</v>
      </c>
      <c r="J111" s="77" t="s">
        <v>169</v>
      </c>
      <c r="K111" s="95"/>
    </row>
    <row r="112" spans="1:11" ht="14.5" customHeight="1">
      <c r="A112" s="95"/>
      <c r="B112" s="77" t="s">
        <v>123</v>
      </c>
      <c r="C112" s="77" t="s">
        <v>65</v>
      </c>
      <c r="D112" s="77" t="s">
        <v>100</v>
      </c>
      <c r="E112" s="78" t="s">
        <v>171</v>
      </c>
      <c r="F112" s="77" t="s">
        <v>172</v>
      </c>
      <c r="G112" s="79">
        <v>46139</v>
      </c>
      <c r="H112" s="77" t="s">
        <v>16</v>
      </c>
      <c r="I112" s="77" t="s">
        <v>34</v>
      </c>
      <c r="J112" s="77" t="s">
        <v>173</v>
      </c>
      <c r="K112" s="84" t="s">
        <v>154</v>
      </c>
    </row>
    <row r="113" spans="1:11" ht="14.5" customHeight="1">
      <c r="A113" s="95"/>
      <c r="B113" s="77" t="s">
        <v>123</v>
      </c>
      <c r="C113" s="77" t="s">
        <v>85</v>
      </c>
      <c r="D113" s="77" t="s">
        <v>103</v>
      </c>
      <c r="E113" s="78" t="s">
        <v>174</v>
      </c>
      <c r="F113" s="77" t="s">
        <v>175</v>
      </c>
      <c r="G113" s="79">
        <v>46139</v>
      </c>
      <c r="H113" s="77" t="s">
        <v>16</v>
      </c>
      <c r="I113" s="77" t="s">
        <v>17</v>
      </c>
      <c r="J113" s="77" t="s">
        <v>176</v>
      </c>
      <c r="K113" s="84" t="s">
        <v>134</v>
      </c>
    </row>
    <row r="114" spans="1:11" ht="14.5" customHeight="1">
      <c r="A114" s="95"/>
      <c r="B114" s="77" t="s">
        <v>123</v>
      </c>
      <c r="C114" s="77" t="s">
        <v>85</v>
      </c>
      <c r="D114" s="77" t="s">
        <v>108</v>
      </c>
      <c r="E114" s="78" t="s">
        <v>177</v>
      </c>
      <c r="F114" s="77" t="s">
        <v>178</v>
      </c>
      <c r="G114" s="79">
        <v>46139</v>
      </c>
      <c r="H114" s="77" t="s">
        <v>16</v>
      </c>
      <c r="I114" s="77" t="s">
        <v>17</v>
      </c>
      <c r="J114" s="77" t="s">
        <v>179</v>
      </c>
      <c r="K114" s="84" t="s">
        <v>154</v>
      </c>
    </row>
    <row r="115" spans="1:11" ht="14.5" customHeight="1">
      <c r="A115" s="95"/>
      <c r="B115" s="77" t="s">
        <v>123</v>
      </c>
      <c r="C115" s="77" t="s">
        <v>112</v>
      </c>
      <c r="D115" s="77" t="s">
        <v>113</v>
      </c>
      <c r="E115" s="78" t="s">
        <v>180</v>
      </c>
      <c r="F115" s="77" t="s">
        <v>181</v>
      </c>
      <c r="G115" s="79">
        <v>46139</v>
      </c>
      <c r="H115" s="77" t="s">
        <v>16</v>
      </c>
      <c r="I115" s="77" t="s">
        <v>34</v>
      </c>
      <c r="J115" s="77" t="s">
        <v>182</v>
      </c>
      <c r="K115" s="84" t="s">
        <v>148</v>
      </c>
    </row>
    <row r="116" spans="1:11" ht="12.5" customHeight="1">
      <c r="A116" s="95"/>
      <c r="B116" s="77" t="s">
        <v>123</v>
      </c>
      <c r="C116" s="77" t="s">
        <v>112</v>
      </c>
      <c r="D116" s="77" t="s">
        <v>118</v>
      </c>
      <c r="E116" s="78" t="s">
        <v>183</v>
      </c>
      <c r="F116" s="77" t="s">
        <v>184</v>
      </c>
      <c r="G116" s="79">
        <v>46139</v>
      </c>
      <c r="H116" s="77" t="s">
        <v>16</v>
      </c>
      <c r="I116" s="77" t="s">
        <v>17</v>
      </c>
      <c r="J116" s="77" t="s">
        <v>185</v>
      </c>
      <c r="K116" s="84" t="s">
        <v>186</v>
      </c>
    </row>
    <row r="117" spans="1:11" ht="12.5" customHeight="1">
      <c r="A117" s="94">
        <v>6</v>
      </c>
      <c r="B117" s="77" t="s">
        <v>187</v>
      </c>
      <c r="C117" s="77" t="s">
        <v>12</v>
      </c>
      <c r="D117" s="77" t="s">
        <v>13</v>
      </c>
      <c r="E117" s="78" t="s">
        <v>124</v>
      </c>
      <c r="F117" s="77" t="s">
        <v>188</v>
      </c>
      <c r="G117" s="79">
        <v>46139</v>
      </c>
      <c r="H117" s="77" t="s">
        <v>189</v>
      </c>
      <c r="I117" s="77" t="s">
        <v>17</v>
      </c>
      <c r="J117" s="77" t="s">
        <v>190</v>
      </c>
      <c r="K117" s="97" t="s">
        <v>191</v>
      </c>
    </row>
    <row r="118" spans="1:11" ht="12.5" customHeight="1">
      <c r="A118" s="95"/>
      <c r="B118" s="77" t="s">
        <v>187</v>
      </c>
      <c r="C118" s="77" t="s">
        <v>12</v>
      </c>
      <c r="D118" s="77" t="s">
        <v>20</v>
      </c>
      <c r="E118" s="78" t="s">
        <v>128</v>
      </c>
      <c r="F118" s="77" t="s">
        <v>192</v>
      </c>
      <c r="G118" s="79">
        <v>46139</v>
      </c>
      <c r="H118" s="77" t="s">
        <v>189</v>
      </c>
      <c r="I118" s="77" t="s">
        <v>17</v>
      </c>
      <c r="J118" s="77" t="s">
        <v>190</v>
      </c>
      <c r="K118" s="95"/>
    </row>
    <row r="119" spans="1:11" ht="12.5" customHeight="1">
      <c r="A119" s="95"/>
      <c r="B119" s="77" t="s">
        <v>187</v>
      </c>
      <c r="C119" s="77" t="s">
        <v>12</v>
      </c>
      <c r="D119" s="77" t="s">
        <v>25</v>
      </c>
      <c r="E119" s="78" t="s">
        <v>193</v>
      </c>
      <c r="F119" s="77" t="s">
        <v>194</v>
      </c>
      <c r="G119" s="79">
        <v>46139</v>
      </c>
      <c r="H119" s="77" t="s">
        <v>189</v>
      </c>
      <c r="I119" s="77" t="s">
        <v>17</v>
      </c>
      <c r="J119" s="77" t="s">
        <v>195</v>
      </c>
      <c r="K119" s="97" t="s">
        <v>196</v>
      </c>
    </row>
    <row r="120" spans="1:11" ht="12.5" customHeight="1">
      <c r="A120" s="95"/>
      <c r="B120" s="77" t="s">
        <v>187</v>
      </c>
      <c r="C120" s="77" t="s">
        <v>30</v>
      </c>
      <c r="D120" s="77" t="s">
        <v>31</v>
      </c>
      <c r="E120" s="78" t="s">
        <v>32</v>
      </c>
      <c r="F120" s="77" t="s">
        <v>197</v>
      </c>
      <c r="G120" s="79">
        <v>46139</v>
      </c>
      <c r="H120" s="77" t="s">
        <v>189</v>
      </c>
      <c r="I120" s="77" t="s">
        <v>17</v>
      </c>
      <c r="J120" s="77" t="s">
        <v>198</v>
      </c>
      <c r="K120" s="95"/>
    </row>
    <row r="121" spans="1:11" ht="12.5" customHeight="1">
      <c r="A121" s="95"/>
      <c r="B121" s="77" t="s">
        <v>187</v>
      </c>
      <c r="C121" s="77" t="s">
        <v>30</v>
      </c>
      <c r="D121" s="77" t="s">
        <v>36</v>
      </c>
      <c r="E121" s="78" t="s">
        <v>135</v>
      </c>
      <c r="F121" s="77" t="s">
        <v>199</v>
      </c>
      <c r="G121" s="79">
        <v>46139</v>
      </c>
      <c r="H121" s="77" t="s">
        <v>189</v>
      </c>
      <c r="I121" s="77" t="s">
        <v>17</v>
      </c>
      <c r="J121" s="77" t="s">
        <v>200</v>
      </c>
      <c r="K121" s="95"/>
    </row>
    <row r="122" spans="1:11" ht="12.5" customHeight="1">
      <c r="A122" s="95"/>
      <c r="B122" s="77" t="s">
        <v>187</v>
      </c>
      <c r="C122" s="77" t="s">
        <v>30</v>
      </c>
      <c r="D122" s="77" t="s">
        <v>40</v>
      </c>
      <c r="E122" s="78" t="s">
        <v>201</v>
      </c>
      <c r="F122" s="77" t="s">
        <v>202</v>
      </c>
      <c r="G122" s="79">
        <v>46139</v>
      </c>
      <c r="H122" s="77" t="s">
        <v>16</v>
      </c>
      <c r="I122" s="77" t="s">
        <v>34</v>
      </c>
      <c r="J122" s="77" t="s">
        <v>203</v>
      </c>
      <c r="K122" s="84" t="s">
        <v>204</v>
      </c>
    </row>
    <row r="123" spans="1:11" ht="12.5" customHeight="1">
      <c r="A123" s="95"/>
      <c r="B123" s="77" t="s">
        <v>187</v>
      </c>
      <c r="C123" s="77" t="s">
        <v>30</v>
      </c>
      <c r="D123" s="77" t="s">
        <v>43</v>
      </c>
      <c r="E123" s="78" t="s">
        <v>44</v>
      </c>
      <c r="F123" s="77" t="s">
        <v>205</v>
      </c>
      <c r="G123" s="79">
        <v>46139</v>
      </c>
      <c r="H123" s="77" t="s">
        <v>189</v>
      </c>
      <c r="I123" s="77" t="s">
        <v>17</v>
      </c>
      <c r="J123" s="77" t="s">
        <v>200</v>
      </c>
      <c r="K123" s="84" t="s">
        <v>196</v>
      </c>
    </row>
    <row r="124" spans="1:11" ht="12.5" customHeight="1">
      <c r="A124" s="95"/>
      <c r="B124" s="77" t="s">
        <v>187</v>
      </c>
      <c r="C124" s="77" t="s">
        <v>30</v>
      </c>
      <c r="D124" s="77" t="s">
        <v>47</v>
      </c>
      <c r="E124" s="78" t="s">
        <v>206</v>
      </c>
      <c r="F124" s="77" t="s">
        <v>207</v>
      </c>
      <c r="G124" s="79">
        <v>46139</v>
      </c>
      <c r="H124" s="77" t="s">
        <v>208</v>
      </c>
      <c r="I124" s="77" t="s">
        <v>17</v>
      </c>
      <c r="J124" s="77" t="s">
        <v>209</v>
      </c>
      <c r="K124" s="84" t="s">
        <v>210</v>
      </c>
    </row>
    <row r="125" spans="1:11" ht="12.5" customHeight="1">
      <c r="A125" s="95"/>
      <c r="B125" s="77" t="s">
        <v>187</v>
      </c>
      <c r="C125" s="77" t="s">
        <v>30</v>
      </c>
      <c r="D125" s="77" t="s">
        <v>52</v>
      </c>
      <c r="E125" s="78" t="s">
        <v>53</v>
      </c>
      <c r="F125" s="77" t="s">
        <v>211</v>
      </c>
      <c r="G125" s="79">
        <v>46139</v>
      </c>
      <c r="H125" s="77" t="s">
        <v>16</v>
      </c>
      <c r="I125" s="77" t="s">
        <v>17</v>
      </c>
      <c r="J125" s="77" t="s">
        <v>212</v>
      </c>
      <c r="K125" s="84" t="s">
        <v>213</v>
      </c>
    </row>
    <row r="126" spans="1:11" ht="12.5" customHeight="1">
      <c r="A126" s="95"/>
      <c r="B126" s="77" t="s">
        <v>187</v>
      </c>
      <c r="C126" s="77" t="s">
        <v>30</v>
      </c>
      <c r="D126" s="77" t="s">
        <v>56</v>
      </c>
      <c r="E126" s="78" t="s">
        <v>214</v>
      </c>
      <c r="F126" s="77" t="s">
        <v>215</v>
      </c>
      <c r="G126" s="79">
        <v>46139</v>
      </c>
      <c r="H126" s="77" t="s">
        <v>16</v>
      </c>
      <c r="I126" s="77" t="s">
        <v>34</v>
      </c>
      <c r="J126" s="77" t="s">
        <v>216</v>
      </c>
      <c r="K126" s="84" t="s">
        <v>210</v>
      </c>
    </row>
    <row r="127" spans="1:11" ht="12.5" customHeight="1">
      <c r="A127" s="95"/>
      <c r="B127" s="77" t="s">
        <v>187</v>
      </c>
      <c r="C127" s="77" t="s">
        <v>30</v>
      </c>
      <c r="D127" s="77" t="s">
        <v>61</v>
      </c>
      <c r="E127" s="78" t="s">
        <v>26</v>
      </c>
      <c r="F127" s="77" t="s">
        <v>217</v>
      </c>
      <c r="G127" s="79">
        <v>46139</v>
      </c>
      <c r="H127" s="77" t="s">
        <v>16</v>
      </c>
      <c r="I127" s="77" t="s">
        <v>28</v>
      </c>
      <c r="J127" s="77" t="s">
        <v>218</v>
      </c>
      <c r="K127" s="84" t="s">
        <v>213</v>
      </c>
    </row>
    <row r="128" spans="1:11" ht="12.5" customHeight="1">
      <c r="A128" s="95"/>
      <c r="B128" s="77" t="s">
        <v>187</v>
      </c>
      <c r="C128" s="77" t="s">
        <v>65</v>
      </c>
      <c r="D128" s="77" t="s">
        <v>66</v>
      </c>
      <c r="E128" s="78" t="s">
        <v>78</v>
      </c>
      <c r="F128" s="77"/>
      <c r="G128" s="79">
        <v>46139</v>
      </c>
      <c r="H128" s="77" t="s">
        <v>219</v>
      </c>
      <c r="I128" s="77" t="s">
        <v>17</v>
      </c>
      <c r="J128" s="77" t="s">
        <v>1552</v>
      </c>
      <c r="K128" s="84" t="s">
        <v>220</v>
      </c>
    </row>
    <row r="129" spans="1:11" ht="12.5" customHeight="1">
      <c r="A129" s="95"/>
      <c r="B129" s="77" t="s">
        <v>187</v>
      </c>
      <c r="C129" s="77" t="s">
        <v>65</v>
      </c>
      <c r="D129" s="77" t="s">
        <v>72</v>
      </c>
      <c r="E129" s="78" t="s">
        <v>157</v>
      </c>
      <c r="F129" s="77" t="s">
        <v>221</v>
      </c>
      <c r="G129" s="79">
        <v>46139</v>
      </c>
      <c r="H129" s="77" t="s">
        <v>16</v>
      </c>
      <c r="I129" s="77" t="s">
        <v>17</v>
      </c>
      <c r="J129" s="77" t="s">
        <v>222</v>
      </c>
      <c r="K129" s="84" t="s">
        <v>210</v>
      </c>
    </row>
    <row r="130" spans="1:11" ht="12.5" customHeight="1">
      <c r="A130" s="95"/>
      <c r="B130" s="77" t="s">
        <v>187</v>
      </c>
      <c r="C130" s="77" t="s">
        <v>65</v>
      </c>
      <c r="D130" s="77" t="s">
        <v>77</v>
      </c>
      <c r="E130" s="78" t="s">
        <v>78</v>
      </c>
      <c r="F130" s="77" t="s">
        <v>367</v>
      </c>
      <c r="G130" s="79" t="s">
        <v>138</v>
      </c>
      <c r="H130" s="77" t="s">
        <v>139</v>
      </c>
      <c r="I130" s="77" t="s">
        <v>34</v>
      </c>
      <c r="J130" s="77" t="s">
        <v>1553</v>
      </c>
      <c r="K130" s="84" t="s">
        <v>223</v>
      </c>
    </row>
    <row r="131" spans="1:11" ht="12.5" customHeight="1">
      <c r="A131" s="95"/>
      <c r="B131" s="77" t="s">
        <v>187</v>
      </c>
      <c r="C131" s="77" t="s">
        <v>65</v>
      </c>
      <c r="D131" s="77" t="s">
        <v>81</v>
      </c>
      <c r="E131" s="78" t="s">
        <v>82</v>
      </c>
      <c r="F131" s="77" t="s">
        <v>224</v>
      </c>
      <c r="G131" s="79">
        <v>46139</v>
      </c>
      <c r="H131" s="77" t="s">
        <v>16</v>
      </c>
      <c r="I131" s="77" t="s">
        <v>17</v>
      </c>
      <c r="J131" s="77" t="s">
        <v>225</v>
      </c>
      <c r="K131" s="84" t="s">
        <v>210</v>
      </c>
    </row>
    <row r="132" spans="1:11" ht="12.5" customHeight="1">
      <c r="A132" s="95"/>
      <c r="B132" s="77" t="s">
        <v>187</v>
      </c>
      <c r="C132" s="77" t="s">
        <v>85</v>
      </c>
      <c r="D132" s="77" t="s">
        <v>86</v>
      </c>
      <c r="E132" s="78" t="s">
        <v>226</v>
      </c>
      <c r="F132" s="77" t="s">
        <v>227</v>
      </c>
      <c r="G132" s="79">
        <v>46139</v>
      </c>
      <c r="H132" s="77" t="s">
        <v>16</v>
      </c>
      <c r="I132" s="77" t="s">
        <v>17</v>
      </c>
      <c r="J132" s="77" t="s">
        <v>228</v>
      </c>
      <c r="K132" s="84" t="s">
        <v>210</v>
      </c>
    </row>
    <row r="133" spans="1:11" ht="12.5" customHeight="1">
      <c r="A133" s="95"/>
      <c r="B133" s="77" t="s">
        <v>187</v>
      </c>
      <c r="C133" s="77" t="s">
        <v>65</v>
      </c>
      <c r="D133" s="77" t="s">
        <v>91</v>
      </c>
      <c r="E133" s="78" t="s">
        <v>92</v>
      </c>
      <c r="F133" s="77" t="s">
        <v>229</v>
      </c>
      <c r="G133" s="79">
        <v>46139</v>
      </c>
      <c r="H133" s="77" t="s">
        <v>16</v>
      </c>
      <c r="I133" s="77" t="s">
        <v>17</v>
      </c>
      <c r="J133" s="77" t="s">
        <v>230</v>
      </c>
      <c r="K133" s="84" t="s">
        <v>213</v>
      </c>
    </row>
    <row r="134" spans="1:11" ht="12.5" customHeight="1">
      <c r="A134" s="95"/>
      <c r="B134" s="77" t="s">
        <v>187</v>
      </c>
      <c r="C134" s="77" t="s">
        <v>65</v>
      </c>
      <c r="D134" s="77" t="s">
        <v>95</v>
      </c>
      <c r="E134" s="78" t="s">
        <v>231</v>
      </c>
      <c r="F134" s="77" t="s">
        <v>232</v>
      </c>
      <c r="G134" s="79">
        <v>46139</v>
      </c>
      <c r="H134" s="77" t="s">
        <v>16</v>
      </c>
      <c r="I134" s="77" t="s">
        <v>17</v>
      </c>
      <c r="J134" s="77" t="s">
        <v>233</v>
      </c>
      <c r="K134" s="84" t="s">
        <v>210</v>
      </c>
    </row>
    <row r="135" spans="1:11" ht="12.5" customHeight="1">
      <c r="A135" s="95"/>
      <c r="B135" s="77" t="s">
        <v>187</v>
      </c>
      <c r="C135" s="77" t="s">
        <v>65</v>
      </c>
      <c r="D135" s="77" t="s">
        <v>100</v>
      </c>
      <c r="E135" s="78" t="s">
        <v>171</v>
      </c>
      <c r="F135" s="77" t="s">
        <v>171</v>
      </c>
      <c r="G135" s="79">
        <v>46139</v>
      </c>
      <c r="H135" s="77" t="s">
        <v>16</v>
      </c>
      <c r="I135" s="77" t="s">
        <v>17</v>
      </c>
      <c r="J135" s="77" t="s">
        <v>234</v>
      </c>
      <c r="K135" s="84" t="s">
        <v>210</v>
      </c>
    </row>
    <row r="136" spans="1:11" ht="12.5" customHeight="1">
      <c r="A136" s="95"/>
      <c r="B136" s="77" t="s">
        <v>187</v>
      </c>
      <c r="C136" s="77" t="s">
        <v>85</v>
      </c>
      <c r="D136" s="77" t="s">
        <v>103</v>
      </c>
      <c r="E136" s="78" t="s">
        <v>26</v>
      </c>
      <c r="F136" s="77" t="s">
        <v>235</v>
      </c>
      <c r="G136" s="79">
        <v>46139</v>
      </c>
      <c r="H136" s="77" t="s">
        <v>16</v>
      </c>
      <c r="I136" s="77" t="s">
        <v>28</v>
      </c>
      <c r="J136" s="77" t="s">
        <v>236</v>
      </c>
      <c r="K136" s="84" t="s">
        <v>210</v>
      </c>
    </row>
    <row r="137" spans="1:11" ht="12.5" customHeight="1">
      <c r="A137" s="95"/>
      <c r="B137" s="77" t="s">
        <v>187</v>
      </c>
      <c r="C137" s="77" t="s">
        <v>85</v>
      </c>
      <c r="D137" s="77" t="s">
        <v>108</v>
      </c>
      <c r="E137" s="78" t="s">
        <v>237</v>
      </c>
      <c r="F137" s="77" t="s">
        <v>238</v>
      </c>
      <c r="G137" s="79">
        <v>46139</v>
      </c>
      <c r="H137" s="77" t="s">
        <v>16</v>
      </c>
      <c r="I137" s="77" t="s">
        <v>17</v>
      </c>
      <c r="J137" s="77" t="s">
        <v>239</v>
      </c>
      <c r="K137" s="84" t="s">
        <v>213</v>
      </c>
    </row>
    <row r="138" spans="1:11" ht="12.5" customHeight="1">
      <c r="A138" s="95"/>
      <c r="B138" s="77" t="s">
        <v>187</v>
      </c>
      <c r="C138" s="77" t="s">
        <v>112</v>
      </c>
      <c r="D138" s="77" t="s">
        <v>113</v>
      </c>
      <c r="E138" s="78" t="s">
        <v>240</v>
      </c>
      <c r="F138" s="77" t="s">
        <v>241</v>
      </c>
      <c r="G138" s="79">
        <v>46139</v>
      </c>
      <c r="H138" s="77" t="s">
        <v>16</v>
      </c>
      <c r="I138" s="77" t="s">
        <v>17</v>
      </c>
      <c r="J138" s="77" t="s">
        <v>242</v>
      </c>
      <c r="K138" s="84" t="s">
        <v>210</v>
      </c>
    </row>
    <row r="139" spans="1:11" ht="12.5" customHeight="1">
      <c r="A139" s="95"/>
      <c r="B139" s="77" t="s">
        <v>187</v>
      </c>
      <c r="C139" s="77" t="s">
        <v>112</v>
      </c>
      <c r="D139" s="77" t="s">
        <v>118</v>
      </c>
      <c r="E139" s="78" t="s">
        <v>243</v>
      </c>
      <c r="F139" s="77" t="s">
        <v>244</v>
      </c>
      <c r="G139" s="79">
        <v>46139</v>
      </c>
      <c r="H139" s="77" t="s">
        <v>16</v>
      </c>
      <c r="I139" s="77" t="s">
        <v>17</v>
      </c>
      <c r="J139" s="77" t="s">
        <v>245</v>
      </c>
      <c r="K139" s="84" t="s">
        <v>210</v>
      </c>
    </row>
    <row r="140" spans="1:11" ht="12.5" customHeight="1">
      <c r="A140" s="94">
        <v>7</v>
      </c>
      <c r="B140" s="77" t="s">
        <v>246</v>
      </c>
      <c r="C140" s="77" t="s">
        <v>12</v>
      </c>
      <c r="D140" s="77" t="s">
        <v>13</v>
      </c>
      <c r="E140" s="78" t="s">
        <v>247</v>
      </c>
      <c r="F140" s="77" t="s">
        <v>248</v>
      </c>
      <c r="G140" s="79">
        <v>46139</v>
      </c>
      <c r="H140" s="77" t="s">
        <v>249</v>
      </c>
      <c r="I140" s="77" t="s">
        <v>17</v>
      </c>
      <c r="J140" s="77" t="s">
        <v>250</v>
      </c>
      <c r="K140" s="84" t="s">
        <v>251</v>
      </c>
    </row>
    <row r="141" spans="1:11" ht="12.5" customHeight="1">
      <c r="A141" s="95"/>
      <c r="B141" s="77" t="s">
        <v>246</v>
      </c>
      <c r="C141" s="77" t="s">
        <v>12</v>
      </c>
      <c r="D141" s="77" t="s">
        <v>20</v>
      </c>
      <c r="E141" s="78" t="s">
        <v>252</v>
      </c>
      <c r="F141" s="77" t="s">
        <v>253</v>
      </c>
      <c r="G141" s="79">
        <v>46139</v>
      </c>
      <c r="H141" s="77" t="s">
        <v>254</v>
      </c>
      <c r="I141" s="77" t="s">
        <v>34</v>
      </c>
      <c r="J141" s="77" t="s">
        <v>255</v>
      </c>
      <c r="K141" s="84" t="s">
        <v>256</v>
      </c>
    </row>
    <row r="142" spans="1:11" ht="12.5" customHeight="1">
      <c r="A142" s="95"/>
      <c r="B142" s="77" t="s">
        <v>246</v>
      </c>
      <c r="C142" s="77" t="s">
        <v>12</v>
      </c>
      <c r="D142" s="77" t="s">
        <v>25</v>
      </c>
      <c r="E142" s="78" t="s">
        <v>26</v>
      </c>
      <c r="F142" s="77" t="s">
        <v>257</v>
      </c>
      <c r="G142" s="79">
        <v>46139</v>
      </c>
      <c r="H142" s="77" t="s">
        <v>16</v>
      </c>
      <c r="I142" s="77" t="s">
        <v>28</v>
      </c>
      <c r="J142" s="77" t="s">
        <v>29</v>
      </c>
      <c r="K142" s="84" t="s">
        <v>258</v>
      </c>
    </row>
    <row r="143" spans="1:11" ht="12.5" customHeight="1">
      <c r="A143" s="95"/>
      <c r="B143" s="77" t="s">
        <v>246</v>
      </c>
      <c r="C143" s="77" t="s">
        <v>30</v>
      </c>
      <c r="D143" s="77" t="s">
        <v>31</v>
      </c>
      <c r="E143" s="78" t="s">
        <v>32</v>
      </c>
      <c r="F143" s="77" t="s">
        <v>259</v>
      </c>
      <c r="G143" s="79">
        <v>46139</v>
      </c>
      <c r="H143" s="77" t="s">
        <v>254</v>
      </c>
      <c r="I143" s="77" t="s">
        <v>34</v>
      </c>
      <c r="J143" s="77" t="s">
        <v>260</v>
      </c>
      <c r="K143" s="84" t="s">
        <v>261</v>
      </c>
    </row>
    <row r="144" spans="1:11" ht="12.5" customHeight="1">
      <c r="A144" s="95"/>
      <c r="B144" s="77" t="s">
        <v>246</v>
      </c>
      <c r="C144" s="77" t="s">
        <v>30</v>
      </c>
      <c r="D144" s="77" t="s">
        <v>36</v>
      </c>
      <c r="E144" s="78" t="s">
        <v>135</v>
      </c>
      <c r="F144" s="77" t="s">
        <v>262</v>
      </c>
      <c r="G144" s="79">
        <v>46139</v>
      </c>
      <c r="H144" s="77" t="s">
        <v>254</v>
      </c>
      <c r="I144" s="77" t="s">
        <v>17</v>
      </c>
      <c r="J144" s="77" t="s">
        <v>263</v>
      </c>
      <c r="K144" s="84" t="s">
        <v>256</v>
      </c>
    </row>
    <row r="145" spans="1:11" ht="12.5" customHeight="1">
      <c r="A145" s="95"/>
      <c r="B145" s="77" t="s">
        <v>246</v>
      </c>
      <c r="C145" s="77" t="s">
        <v>30</v>
      </c>
      <c r="D145" s="77" t="s">
        <v>40</v>
      </c>
      <c r="E145" s="78" t="s">
        <v>26</v>
      </c>
      <c r="F145" s="77" t="s">
        <v>368</v>
      </c>
      <c r="G145" s="79" t="s">
        <v>138</v>
      </c>
      <c r="H145" s="77" t="s">
        <v>139</v>
      </c>
      <c r="I145" s="77" t="s">
        <v>28</v>
      </c>
      <c r="J145" s="77" t="s">
        <v>264</v>
      </c>
      <c r="K145" s="84" t="s">
        <v>258</v>
      </c>
    </row>
    <row r="146" spans="1:11" ht="12.5" customHeight="1">
      <c r="A146" s="95"/>
      <c r="B146" s="77" t="s">
        <v>246</v>
      </c>
      <c r="C146" s="77" t="s">
        <v>30</v>
      </c>
      <c r="D146" s="77" t="s">
        <v>43</v>
      </c>
      <c r="E146" s="78" t="s">
        <v>44</v>
      </c>
      <c r="F146" s="77" t="s">
        <v>265</v>
      </c>
      <c r="G146" s="79">
        <v>46139</v>
      </c>
      <c r="H146" s="77" t="s">
        <v>254</v>
      </c>
      <c r="I146" s="77" t="s">
        <v>17</v>
      </c>
      <c r="J146" s="77" t="s">
        <v>266</v>
      </c>
      <c r="K146" s="84" t="s">
        <v>256</v>
      </c>
    </row>
    <row r="147" spans="1:11" ht="12.5" customHeight="1">
      <c r="A147" s="95"/>
      <c r="B147" s="77" t="s">
        <v>246</v>
      </c>
      <c r="C147" s="77" t="s">
        <v>30</v>
      </c>
      <c r="D147" s="77" t="s">
        <v>47</v>
      </c>
      <c r="E147" s="78" t="s">
        <v>48</v>
      </c>
      <c r="F147" s="77" t="s">
        <v>267</v>
      </c>
      <c r="G147" s="79">
        <v>46139</v>
      </c>
      <c r="H147" s="77" t="s">
        <v>16</v>
      </c>
      <c r="I147" s="77" t="s">
        <v>17</v>
      </c>
      <c r="J147" s="77" t="s">
        <v>268</v>
      </c>
      <c r="K147" s="84" t="s">
        <v>258</v>
      </c>
    </row>
    <row r="148" spans="1:11" ht="12.5" customHeight="1">
      <c r="A148" s="95"/>
      <c r="B148" s="77" t="s">
        <v>246</v>
      </c>
      <c r="C148" s="77" t="s">
        <v>30</v>
      </c>
      <c r="D148" s="77" t="s">
        <v>52</v>
      </c>
      <c r="E148" s="78" t="s">
        <v>53</v>
      </c>
      <c r="F148" s="77" t="s">
        <v>269</v>
      </c>
      <c r="G148" s="79">
        <v>46139</v>
      </c>
      <c r="H148" s="77" t="s">
        <v>16</v>
      </c>
      <c r="I148" s="77" t="s">
        <v>17</v>
      </c>
      <c r="J148" s="77" t="s">
        <v>270</v>
      </c>
      <c r="K148" s="84" t="s">
        <v>271</v>
      </c>
    </row>
    <row r="149" spans="1:11" ht="12.5" customHeight="1">
      <c r="A149" s="95"/>
      <c r="B149" s="77" t="s">
        <v>246</v>
      </c>
      <c r="C149" s="77" t="s">
        <v>30</v>
      </c>
      <c r="D149" s="77" t="s">
        <v>56</v>
      </c>
      <c r="E149" s="78" t="s">
        <v>272</v>
      </c>
      <c r="F149" s="77" t="s">
        <v>273</v>
      </c>
      <c r="G149" s="79">
        <v>46139</v>
      </c>
      <c r="H149" s="77" t="s">
        <v>254</v>
      </c>
      <c r="I149" s="77" t="s">
        <v>34</v>
      </c>
      <c r="J149" s="77" t="s">
        <v>274</v>
      </c>
      <c r="K149" s="84" t="s">
        <v>261</v>
      </c>
    </row>
    <row r="150" spans="1:11" ht="12.5" customHeight="1">
      <c r="A150" s="95"/>
      <c r="B150" s="77" t="s">
        <v>246</v>
      </c>
      <c r="C150" s="77" t="s">
        <v>30</v>
      </c>
      <c r="D150" s="77" t="s">
        <v>61</v>
      </c>
      <c r="E150" s="78" t="s">
        <v>275</v>
      </c>
      <c r="F150" s="77" t="s">
        <v>276</v>
      </c>
      <c r="G150" s="79">
        <v>46139</v>
      </c>
      <c r="H150" s="77" t="s">
        <v>16</v>
      </c>
      <c r="I150" s="77" t="s">
        <v>17</v>
      </c>
      <c r="J150" s="77" t="s">
        <v>277</v>
      </c>
      <c r="K150" s="84" t="s">
        <v>258</v>
      </c>
    </row>
    <row r="151" spans="1:11" ht="12.5" customHeight="1">
      <c r="A151" s="95"/>
      <c r="B151" s="77" t="s">
        <v>246</v>
      </c>
      <c r="C151" s="77" t="s">
        <v>65</v>
      </c>
      <c r="D151" s="77" t="s">
        <v>66</v>
      </c>
      <c r="E151" s="78" t="s">
        <v>67</v>
      </c>
      <c r="F151" s="77" t="s">
        <v>278</v>
      </c>
      <c r="G151" s="79">
        <v>46139</v>
      </c>
      <c r="H151" s="77" t="s">
        <v>69</v>
      </c>
      <c r="I151" s="77" t="s">
        <v>17</v>
      </c>
      <c r="J151" s="77" t="s">
        <v>70</v>
      </c>
      <c r="K151" s="84" t="s">
        <v>279</v>
      </c>
    </row>
    <row r="152" spans="1:11" ht="12.5" customHeight="1">
      <c r="A152" s="95"/>
      <c r="B152" s="77" t="s">
        <v>246</v>
      </c>
      <c r="C152" s="77" t="s">
        <v>65</v>
      </c>
      <c r="D152" s="77" t="s">
        <v>72</v>
      </c>
      <c r="E152" s="78" t="s">
        <v>73</v>
      </c>
      <c r="F152" s="77" t="s">
        <v>280</v>
      </c>
      <c r="G152" s="79">
        <v>46139</v>
      </c>
      <c r="H152" s="77" t="s">
        <v>16</v>
      </c>
      <c r="I152" s="77" t="s">
        <v>17</v>
      </c>
      <c r="J152" s="77" t="s">
        <v>281</v>
      </c>
      <c r="K152" s="84" t="s">
        <v>258</v>
      </c>
    </row>
    <row r="153" spans="1:11" ht="12.5" customHeight="1">
      <c r="A153" s="95"/>
      <c r="B153" s="77" t="s">
        <v>246</v>
      </c>
      <c r="C153" s="77" t="s">
        <v>65</v>
      </c>
      <c r="D153" s="77" t="s">
        <v>77</v>
      </c>
      <c r="E153" s="78" t="s">
        <v>78</v>
      </c>
      <c r="F153" s="77" t="s">
        <v>282</v>
      </c>
      <c r="G153" s="79">
        <v>46139</v>
      </c>
      <c r="H153" s="77" t="s">
        <v>139</v>
      </c>
      <c r="I153" s="77" t="s">
        <v>17</v>
      </c>
      <c r="J153" s="77" t="s">
        <v>283</v>
      </c>
      <c r="K153" s="84" t="s">
        <v>284</v>
      </c>
    </row>
    <row r="154" spans="1:11" ht="12.5" customHeight="1">
      <c r="A154" s="95"/>
      <c r="B154" s="77" t="s">
        <v>246</v>
      </c>
      <c r="C154" s="77" t="s">
        <v>65</v>
      </c>
      <c r="D154" s="77" t="s">
        <v>81</v>
      </c>
      <c r="E154" s="78" t="s">
        <v>285</v>
      </c>
      <c r="F154" s="77" t="s">
        <v>286</v>
      </c>
      <c r="G154" s="79">
        <v>46139</v>
      </c>
      <c r="H154" s="77" t="s">
        <v>16</v>
      </c>
      <c r="I154" s="77" t="s">
        <v>17</v>
      </c>
      <c r="J154" s="77" t="s">
        <v>287</v>
      </c>
      <c r="K154" s="84" t="s">
        <v>258</v>
      </c>
    </row>
    <row r="155" spans="1:11" ht="12.5" customHeight="1">
      <c r="A155" s="95"/>
      <c r="B155" s="77" t="s">
        <v>246</v>
      </c>
      <c r="C155" s="77" t="s">
        <v>85</v>
      </c>
      <c r="D155" s="77" t="s">
        <v>86</v>
      </c>
      <c r="E155" s="78" t="s">
        <v>288</v>
      </c>
      <c r="F155" s="77" t="s">
        <v>289</v>
      </c>
      <c r="G155" s="79">
        <v>46139</v>
      </c>
      <c r="H155" s="77" t="s">
        <v>254</v>
      </c>
      <c r="I155" s="77" t="s">
        <v>34</v>
      </c>
      <c r="J155" s="77" t="s">
        <v>290</v>
      </c>
      <c r="K155" s="84" t="s">
        <v>291</v>
      </c>
    </row>
    <row r="156" spans="1:11" ht="12.5" customHeight="1">
      <c r="A156" s="95"/>
      <c r="B156" s="77" t="s">
        <v>246</v>
      </c>
      <c r="C156" s="77" t="s">
        <v>65</v>
      </c>
      <c r="D156" s="77" t="s">
        <v>91</v>
      </c>
      <c r="E156" s="78" t="s">
        <v>92</v>
      </c>
      <c r="F156" s="77" t="s">
        <v>292</v>
      </c>
      <c r="G156" s="79">
        <v>46139</v>
      </c>
      <c r="H156" s="77" t="s">
        <v>16</v>
      </c>
      <c r="I156" s="77" t="s">
        <v>17</v>
      </c>
      <c r="J156" s="77" t="s">
        <v>293</v>
      </c>
      <c r="K156" s="84" t="s">
        <v>258</v>
      </c>
    </row>
    <row r="157" spans="1:11" ht="12.5" customHeight="1">
      <c r="A157" s="95"/>
      <c r="B157" s="77" t="s">
        <v>246</v>
      </c>
      <c r="C157" s="77" t="s">
        <v>65</v>
      </c>
      <c r="D157" s="77" t="s">
        <v>95</v>
      </c>
      <c r="E157" s="78" t="s">
        <v>96</v>
      </c>
      <c r="F157" s="77" t="s">
        <v>294</v>
      </c>
      <c r="G157" s="79">
        <v>46139</v>
      </c>
      <c r="H157" s="77" t="s">
        <v>139</v>
      </c>
      <c r="I157" s="77" t="s">
        <v>17</v>
      </c>
      <c r="J157" s="77" t="s">
        <v>295</v>
      </c>
      <c r="K157" s="84" t="s">
        <v>284</v>
      </c>
    </row>
    <row r="158" spans="1:11" ht="12.5" customHeight="1">
      <c r="A158" s="95"/>
      <c r="B158" s="77" t="s">
        <v>246</v>
      </c>
      <c r="C158" s="77" t="s">
        <v>65</v>
      </c>
      <c r="D158" s="77" t="s">
        <v>100</v>
      </c>
      <c r="E158" s="78" t="s">
        <v>171</v>
      </c>
      <c r="F158" s="77" t="s">
        <v>296</v>
      </c>
      <c r="G158" s="79">
        <v>46139</v>
      </c>
      <c r="H158" s="77" t="s">
        <v>16</v>
      </c>
      <c r="I158" s="77" t="s">
        <v>34</v>
      </c>
      <c r="J158" s="77" t="s">
        <v>297</v>
      </c>
      <c r="K158" s="84" t="s">
        <v>258</v>
      </c>
    </row>
    <row r="159" spans="1:11" ht="12.5" customHeight="1">
      <c r="A159" s="95"/>
      <c r="B159" s="77" t="s">
        <v>246</v>
      </c>
      <c r="C159" s="77" t="s">
        <v>85</v>
      </c>
      <c r="D159" s="77" t="s">
        <v>103</v>
      </c>
      <c r="E159" s="78" t="s">
        <v>298</v>
      </c>
      <c r="F159" s="77" t="s">
        <v>299</v>
      </c>
      <c r="G159" s="79">
        <v>46139</v>
      </c>
      <c r="H159" s="77" t="s">
        <v>16</v>
      </c>
      <c r="I159" s="77" t="s">
        <v>17</v>
      </c>
      <c r="J159" s="77" t="s">
        <v>300</v>
      </c>
      <c r="K159" s="84" t="s">
        <v>301</v>
      </c>
    </row>
    <row r="160" spans="1:11" ht="12.5" customHeight="1">
      <c r="A160" s="95"/>
      <c r="B160" s="77" t="s">
        <v>246</v>
      </c>
      <c r="C160" s="77" t="s">
        <v>85</v>
      </c>
      <c r="D160" s="77" t="s">
        <v>108</v>
      </c>
      <c r="E160" s="78" t="s">
        <v>302</v>
      </c>
      <c r="F160" s="77" t="s">
        <v>303</v>
      </c>
      <c r="G160" s="79">
        <v>46139</v>
      </c>
      <c r="H160" s="77" t="s">
        <v>139</v>
      </c>
      <c r="I160" s="77" t="s">
        <v>17</v>
      </c>
      <c r="J160" s="77" t="s">
        <v>304</v>
      </c>
      <c r="K160" s="84" t="s">
        <v>305</v>
      </c>
    </row>
    <row r="161" spans="1:11" ht="12.5" customHeight="1">
      <c r="A161" s="95"/>
      <c r="B161" s="77" t="s">
        <v>246</v>
      </c>
      <c r="C161" s="77" t="s">
        <v>112</v>
      </c>
      <c r="D161" s="77" t="s">
        <v>113</v>
      </c>
      <c r="E161" s="78" t="s">
        <v>306</v>
      </c>
      <c r="F161" s="77" t="s">
        <v>306</v>
      </c>
      <c r="G161" s="79">
        <v>46139</v>
      </c>
      <c r="H161" s="77" t="s">
        <v>254</v>
      </c>
      <c r="I161" s="77" t="s">
        <v>34</v>
      </c>
      <c r="J161" s="77" t="s">
        <v>307</v>
      </c>
      <c r="K161" s="84" t="s">
        <v>261</v>
      </c>
    </row>
    <row r="162" spans="1:11" ht="12.5" customHeight="1">
      <c r="A162" s="95"/>
      <c r="B162" s="77" t="s">
        <v>246</v>
      </c>
      <c r="C162" s="77" t="s">
        <v>112</v>
      </c>
      <c r="D162" s="77" t="s">
        <v>118</v>
      </c>
      <c r="E162" s="78" t="s">
        <v>308</v>
      </c>
      <c r="F162" s="77" t="s">
        <v>309</v>
      </c>
      <c r="G162" s="79">
        <v>46139</v>
      </c>
      <c r="H162" s="77" t="s">
        <v>16</v>
      </c>
      <c r="I162" s="77" t="s">
        <v>17</v>
      </c>
      <c r="J162" s="77" t="s">
        <v>264</v>
      </c>
      <c r="K162" s="84" t="s">
        <v>258</v>
      </c>
    </row>
    <row r="163" spans="1:11" ht="12.5" customHeight="1">
      <c r="A163" s="94">
        <v>8</v>
      </c>
      <c r="B163" s="77" t="s">
        <v>310</v>
      </c>
      <c r="C163" s="77" t="s">
        <v>12</v>
      </c>
      <c r="D163" s="77" t="s">
        <v>13</v>
      </c>
      <c r="E163" s="78" t="s">
        <v>247</v>
      </c>
      <c r="F163" s="77" t="s">
        <v>311</v>
      </c>
      <c r="G163" s="79">
        <v>46139</v>
      </c>
      <c r="H163" s="77" t="s">
        <v>16</v>
      </c>
      <c r="I163" s="77" t="s">
        <v>17</v>
      </c>
      <c r="J163" s="77" t="s">
        <v>312</v>
      </c>
      <c r="K163" s="97" t="s">
        <v>313</v>
      </c>
    </row>
    <row r="164" spans="1:11" ht="12.5" customHeight="1">
      <c r="A164" s="95"/>
      <c r="B164" s="77" t="s">
        <v>310</v>
      </c>
      <c r="C164" s="77" t="s">
        <v>12</v>
      </c>
      <c r="D164" s="77" t="s">
        <v>20</v>
      </c>
      <c r="E164" s="78" t="s">
        <v>252</v>
      </c>
      <c r="F164" s="77" t="s">
        <v>314</v>
      </c>
      <c r="G164" s="79">
        <v>46139</v>
      </c>
      <c r="H164" s="77" t="s">
        <v>16</v>
      </c>
      <c r="I164" s="77" t="s">
        <v>17</v>
      </c>
      <c r="J164" s="77" t="s">
        <v>315</v>
      </c>
      <c r="K164" s="95"/>
    </row>
    <row r="165" spans="1:11" ht="12.5" customHeight="1">
      <c r="A165" s="95"/>
      <c r="B165" s="77" t="s">
        <v>310</v>
      </c>
      <c r="C165" s="77" t="s">
        <v>12</v>
      </c>
      <c r="D165" s="77" t="s">
        <v>25</v>
      </c>
      <c r="E165" s="78" t="s">
        <v>26</v>
      </c>
      <c r="F165" s="77" t="s">
        <v>316</v>
      </c>
      <c r="G165" s="79">
        <v>46139</v>
      </c>
      <c r="H165" s="77" t="s">
        <v>16</v>
      </c>
      <c r="I165" s="77" t="s">
        <v>28</v>
      </c>
      <c r="J165" s="77" t="s">
        <v>317</v>
      </c>
      <c r="K165" s="95"/>
    </row>
    <row r="166" spans="1:11" ht="12.5" customHeight="1">
      <c r="A166" s="95"/>
      <c r="B166" s="77" t="s">
        <v>310</v>
      </c>
      <c r="C166" s="77" t="s">
        <v>30</v>
      </c>
      <c r="D166" s="77" t="s">
        <v>31</v>
      </c>
      <c r="E166" s="78" t="s">
        <v>32</v>
      </c>
      <c r="F166" s="77" t="s">
        <v>318</v>
      </c>
      <c r="G166" s="79">
        <v>46139</v>
      </c>
      <c r="H166" s="77" t="s">
        <v>319</v>
      </c>
      <c r="I166" s="77" t="s">
        <v>17</v>
      </c>
      <c r="J166" s="77" t="s">
        <v>320</v>
      </c>
      <c r="K166" s="77" t="s">
        <v>321</v>
      </c>
    </row>
    <row r="167" spans="1:11" ht="12.5" customHeight="1">
      <c r="A167" s="95"/>
      <c r="B167" s="77" t="s">
        <v>310</v>
      </c>
      <c r="C167" s="77" t="s">
        <v>30</v>
      </c>
      <c r="D167" s="77" t="s">
        <v>36</v>
      </c>
      <c r="E167" s="78" t="s">
        <v>322</v>
      </c>
      <c r="F167" s="77" t="s">
        <v>369</v>
      </c>
      <c r="G167" s="79" t="s">
        <v>138</v>
      </c>
      <c r="H167" s="77" t="s">
        <v>139</v>
      </c>
      <c r="I167" s="77" t="s">
        <v>17</v>
      </c>
      <c r="J167" s="77" t="s">
        <v>323</v>
      </c>
      <c r="K167" s="77" t="s">
        <v>313</v>
      </c>
    </row>
    <row r="168" spans="1:11" ht="12.5" customHeight="1">
      <c r="A168" s="95"/>
      <c r="B168" s="77" t="s">
        <v>310</v>
      </c>
      <c r="C168" s="77" t="s">
        <v>30</v>
      </c>
      <c r="D168" s="77" t="s">
        <v>40</v>
      </c>
      <c r="E168" s="78" t="s">
        <v>26</v>
      </c>
      <c r="F168" s="77" t="s">
        <v>370</v>
      </c>
      <c r="G168" s="79" t="s">
        <v>138</v>
      </c>
      <c r="H168" s="77" t="s">
        <v>139</v>
      </c>
      <c r="I168" s="77" t="s">
        <v>28</v>
      </c>
      <c r="J168" s="77" t="s">
        <v>324</v>
      </c>
      <c r="K168" s="97" t="s">
        <v>313</v>
      </c>
    </row>
    <row r="169" spans="1:11" ht="12.5" customHeight="1">
      <c r="A169" s="95"/>
      <c r="B169" s="77" t="s">
        <v>310</v>
      </c>
      <c r="C169" s="77" t="s">
        <v>30</v>
      </c>
      <c r="D169" s="77" t="s">
        <v>43</v>
      </c>
      <c r="E169" s="78" t="s">
        <v>44</v>
      </c>
      <c r="F169" s="77" t="s">
        <v>325</v>
      </c>
      <c r="G169" s="79">
        <v>46139</v>
      </c>
      <c r="H169" s="77" t="s">
        <v>16</v>
      </c>
      <c r="I169" s="77" t="s">
        <v>17</v>
      </c>
      <c r="J169" s="77" t="s">
        <v>326</v>
      </c>
      <c r="K169" s="95"/>
    </row>
    <row r="170" spans="1:11" ht="12.5" customHeight="1">
      <c r="A170" s="95"/>
      <c r="B170" s="77" t="s">
        <v>310</v>
      </c>
      <c r="C170" s="77" t="s">
        <v>30</v>
      </c>
      <c r="D170" s="77" t="s">
        <v>47</v>
      </c>
      <c r="E170" s="78" t="s">
        <v>48</v>
      </c>
      <c r="F170" s="77" t="s">
        <v>327</v>
      </c>
      <c r="G170" s="79">
        <v>46139</v>
      </c>
      <c r="H170" s="77" t="s">
        <v>16</v>
      </c>
      <c r="I170" s="77" t="s">
        <v>17</v>
      </c>
      <c r="J170" s="77" t="s">
        <v>328</v>
      </c>
      <c r="K170" s="95"/>
    </row>
    <row r="171" spans="1:11" ht="12.5" customHeight="1">
      <c r="A171" s="95"/>
      <c r="B171" s="77" t="s">
        <v>310</v>
      </c>
      <c r="C171" s="77" t="s">
        <v>30</v>
      </c>
      <c r="D171" s="77" t="s">
        <v>52</v>
      </c>
      <c r="E171" s="78" t="s">
        <v>53</v>
      </c>
      <c r="F171" s="77" t="s">
        <v>329</v>
      </c>
      <c r="G171" s="79">
        <v>46139</v>
      </c>
      <c r="H171" s="77" t="s">
        <v>16</v>
      </c>
      <c r="I171" s="77" t="s">
        <v>17</v>
      </c>
      <c r="J171" s="77" t="s">
        <v>330</v>
      </c>
      <c r="K171" s="84" t="s">
        <v>331</v>
      </c>
    </row>
    <row r="172" spans="1:11" ht="12.5" customHeight="1">
      <c r="A172" s="95"/>
      <c r="B172" s="77" t="s">
        <v>310</v>
      </c>
      <c r="C172" s="77" t="s">
        <v>30</v>
      </c>
      <c r="D172" s="77" t="s">
        <v>56</v>
      </c>
      <c r="E172" s="78" t="s">
        <v>272</v>
      </c>
      <c r="F172" s="77" t="s">
        <v>272</v>
      </c>
      <c r="G172" s="79">
        <v>46139</v>
      </c>
      <c r="H172" s="77" t="s">
        <v>319</v>
      </c>
      <c r="I172" s="77" t="s">
        <v>28</v>
      </c>
      <c r="J172" s="77" t="s">
        <v>332</v>
      </c>
      <c r="K172" s="84" t="s">
        <v>333</v>
      </c>
    </row>
    <row r="173" spans="1:11" ht="12.5" customHeight="1">
      <c r="A173" s="95"/>
      <c r="B173" s="77" t="s">
        <v>310</v>
      </c>
      <c r="C173" s="77" t="s">
        <v>30</v>
      </c>
      <c r="D173" s="77" t="s">
        <v>61</v>
      </c>
      <c r="E173" s="78" t="s">
        <v>334</v>
      </c>
      <c r="F173" s="77" t="s">
        <v>335</v>
      </c>
      <c r="G173" s="79">
        <v>46139</v>
      </c>
      <c r="H173" s="77" t="s">
        <v>16</v>
      </c>
      <c r="I173" s="77" t="s">
        <v>17</v>
      </c>
      <c r="J173" s="77" t="s">
        <v>336</v>
      </c>
      <c r="K173" s="84" t="s">
        <v>313</v>
      </c>
    </row>
    <row r="174" spans="1:11" ht="12.5" customHeight="1">
      <c r="A174" s="95"/>
      <c r="B174" s="77" t="s">
        <v>310</v>
      </c>
      <c r="C174" s="77" t="s">
        <v>65</v>
      </c>
      <c r="D174" s="77" t="s">
        <v>66</v>
      </c>
      <c r="E174" s="78" t="s">
        <v>67</v>
      </c>
      <c r="F174" s="77" t="s">
        <v>337</v>
      </c>
      <c r="G174" s="79">
        <v>46139</v>
      </c>
      <c r="H174" s="77" t="s">
        <v>338</v>
      </c>
      <c r="I174" s="77" t="s">
        <v>34</v>
      </c>
      <c r="J174" s="77" t="s">
        <v>339</v>
      </c>
      <c r="K174" s="77" t="s">
        <v>340</v>
      </c>
    </row>
    <row r="175" spans="1:11" ht="12.5" customHeight="1">
      <c r="A175" s="95"/>
      <c r="B175" s="77" t="s">
        <v>310</v>
      </c>
      <c r="C175" s="77" t="s">
        <v>65</v>
      </c>
      <c r="D175" s="77" t="s">
        <v>72</v>
      </c>
      <c r="E175" s="78" t="s">
        <v>157</v>
      </c>
      <c r="F175" s="77" t="s">
        <v>341</v>
      </c>
      <c r="G175" s="79">
        <v>46139</v>
      </c>
      <c r="H175" s="77" t="s">
        <v>16</v>
      </c>
      <c r="I175" s="77" t="s">
        <v>17</v>
      </c>
      <c r="J175" s="77" t="s">
        <v>342</v>
      </c>
      <c r="K175" s="84" t="s">
        <v>313</v>
      </c>
    </row>
    <row r="176" spans="1:11" ht="12.5" customHeight="1">
      <c r="A176" s="95"/>
      <c r="B176" s="77" t="s">
        <v>310</v>
      </c>
      <c r="C176" s="77" t="s">
        <v>65</v>
      </c>
      <c r="D176" s="77" t="s">
        <v>77</v>
      </c>
      <c r="E176" s="78" t="s">
        <v>78</v>
      </c>
      <c r="F176" s="77" t="s">
        <v>343</v>
      </c>
      <c r="G176" s="79">
        <v>46139</v>
      </c>
      <c r="H176" s="77" t="s">
        <v>139</v>
      </c>
      <c r="I176" s="77" t="s">
        <v>17</v>
      </c>
      <c r="J176" s="77" t="s">
        <v>283</v>
      </c>
      <c r="K176" s="84" t="s">
        <v>344</v>
      </c>
    </row>
    <row r="177" spans="1:11" ht="12.5" customHeight="1">
      <c r="A177" s="95"/>
      <c r="B177" s="77" t="s">
        <v>310</v>
      </c>
      <c r="C177" s="77" t="s">
        <v>65</v>
      </c>
      <c r="D177" s="77" t="s">
        <v>81</v>
      </c>
      <c r="E177" s="78" t="s">
        <v>82</v>
      </c>
      <c r="F177" s="77" t="s">
        <v>345</v>
      </c>
      <c r="G177" s="79">
        <v>46139</v>
      </c>
      <c r="H177" s="77" t="s">
        <v>16</v>
      </c>
      <c r="I177" s="77" t="s">
        <v>17</v>
      </c>
      <c r="J177" s="77" t="s">
        <v>346</v>
      </c>
      <c r="K177" s="84" t="s">
        <v>331</v>
      </c>
    </row>
    <row r="178" spans="1:11" ht="12.5" customHeight="1">
      <c r="A178" s="95"/>
      <c r="B178" s="77" t="s">
        <v>310</v>
      </c>
      <c r="C178" s="77" t="s">
        <v>85</v>
      </c>
      <c r="D178" s="77" t="s">
        <v>86</v>
      </c>
      <c r="E178" s="78" t="s">
        <v>347</v>
      </c>
      <c r="F178" s="77" t="s">
        <v>348</v>
      </c>
      <c r="G178" s="79">
        <v>46139</v>
      </c>
      <c r="H178" s="77" t="s">
        <v>16</v>
      </c>
      <c r="I178" s="77" t="s">
        <v>17</v>
      </c>
      <c r="J178" s="77" t="s">
        <v>349</v>
      </c>
      <c r="K178" s="84" t="s">
        <v>350</v>
      </c>
    </row>
    <row r="179" spans="1:11" ht="12.5" customHeight="1">
      <c r="A179" s="95"/>
      <c r="B179" s="77" t="s">
        <v>310</v>
      </c>
      <c r="C179" s="77" t="s">
        <v>65</v>
      </c>
      <c r="D179" s="77" t="s">
        <v>91</v>
      </c>
      <c r="E179" s="78" t="s">
        <v>92</v>
      </c>
      <c r="F179" s="77" t="s">
        <v>351</v>
      </c>
      <c r="G179" s="79">
        <v>46139</v>
      </c>
      <c r="H179" s="77" t="s">
        <v>16</v>
      </c>
      <c r="I179" s="77" t="s">
        <v>17</v>
      </c>
      <c r="J179" s="77" t="s">
        <v>352</v>
      </c>
      <c r="K179" s="84" t="s">
        <v>313</v>
      </c>
    </row>
    <row r="180" spans="1:11" ht="12.5" customHeight="1">
      <c r="A180" s="95"/>
      <c r="B180" s="77" t="s">
        <v>310</v>
      </c>
      <c r="C180" s="77" t="s">
        <v>65</v>
      </c>
      <c r="D180" s="77" t="s">
        <v>95</v>
      </c>
      <c r="E180" s="78" t="s">
        <v>96</v>
      </c>
      <c r="F180" s="77" t="s">
        <v>353</v>
      </c>
      <c r="G180" s="79">
        <v>46139</v>
      </c>
      <c r="H180" s="77" t="s">
        <v>139</v>
      </c>
      <c r="I180" s="77" t="s">
        <v>17</v>
      </c>
      <c r="J180" s="77" t="s">
        <v>295</v>
      </c>
      <c r="K180" s="84" t="s">
        <v>344</v>
      </c>
    </row>
    <row r="181" spans="1:11" ht="12.5" customHeight="1">
      <c r="A181" s="95"/>
      <c r="B181" s="77" t="s">
        <v>310</v>
      </c>
      <c r="C181" s="77" t="s">
        <v>65</v>
      </c>
      <c r="D181" s="77" t="s">
        <v>100</v>
      </c>
      <c r="E181" s="78" t="s">
        <v>171</v>
      </c>
      <c r="F181" s="77" t="s">
        <v>354</v>
      </c>
      <c r="G181" s="79">
        <v>46139</v>
      </c>
      <c r="H181" s="77" t="s">
        <v>16</v>
      </c>
      <c r="I181" s="77" t="s">
        <v>34</v>
      </c>
      <c r="J181" s="77" t="s">
        <v>355</v>
      </c>
      <c r="K181" s="84" t="s">
        <v>313</v>
      </c>
    </row>
    <row r="182" spans="1:11" ht="12.5" customHeight="1">
      <c r="A182" s="95"/>
      <c r="B182" s="77" t="s">
        <v>310</v>
      </c>
      <c r="C182" s="77" t="s">
        <v>85</v>
      </c>
      <c r="D182" s="77" t="s">
        <v>103</v>
      </c>
      <c r="E182" s="78" t="s">
        <v>298</v>
      </c>
      <c r="F182" s="77" t="s">
        <v>356</v>
      </c>
      <c r="G182" s="79">
        <v>46139</v>
      </c>
      <c r="H182" s="77" t="s">
        <v>16</v>
      </c>
      <c r="I182" s="77" t="s">
        <v>17</v>
      </c>
      <c r="J182" s="77" t="s">
        <v>357</v>
      </c>
      <c r="K182" s="84" t="s">
        <v>301</v>
      </c>
    </row>
    <row r="183" spans="1:11" ht="12.5" customHeight="1">
      <c r="A183" s="95"/>
      <c r="B183" s="77" t="s">
        <v>310</v>
      </c>
      <c r="C183" s="77" t="s">
        <v>85</v>
      </c>
      <c r="D183" s="77" t="s">
        <v>108</v>
      </c>
      <c r="E183" s="78" t="s">
        <v>302</v>
      </c>
      <c r="F183" s="77" t="s">
        <v>358</v>
      </c>
      <c r="G183" s="79">
        <v>46139</v>
      </c>
      <c r="H183" s="77" t="s">
        <v>139</v>
      </c>
      <c r="I183" s="77" t="s">
        <v>17</v>
      </c>
      <c r="J183" s="77" t="s">
        <v>359</v>
      </c>
      <c r="K183" s="84" t="s">
        <v>305</v>
      </c>
    </row>
    <row r="184" spans="1:11" ht="12.5" customHeight="1">
      <c r="A184" s="95"/>
      <c r="B184" s="77" t="s">
        <v>310</v>
      </c>
      <c r="C184" s="77" t="s">
        <v>112</v>
      </c>
      <c r="D184" s="77" t="s">
        <v>113</v>
      </c>
      <c r="E184" s="78" t="s">
        <v>306</v>
      </c>
      <c r="F184" s="77" t="s">
        <v>306</v>
      </c>
      <c r="G184" s="79">
        <v>46139</v>
      </c>
      <c r="H184" s="77" t="s">
        <v>254</v>
      </c>
      <c r="I184" s="77" t="s">
        <v>34</v>
      </c>
      <c r="J184" s="77" t="s">
        <v>360</v>
      </c>
      <c r="K184" s="84" t="s">
        <v>361</v>
      </c>
    </row>
    <row r="185" spans="1:11" ht="12.5" customHeight="1">
      <c r="A185" s="95"/>
      <c r="B185" s="77" t="s">
        <v>310</v>
      </c>
      <c r="C185" s="77" t="s">
        <v>112</v>
      </c>
      <c r="D185" s="77" t="s">
        <v>118</v>
      </c>
      <c r="E185" s="78" t="s">
        <v>362</v>
      </c>
      <c r="F185" s="77" t="s">
        <v>363</v>
      </c>
      <c r="G185" s="79">
        <v>46139</v>
      </c>
      <c r="H185" s="77" t="s">
        <v>319</v>
      </c>
      <c r="I185" s="77" t="s">
        <v>17</v>
      </c>
      <c r="J185" s="77" t="s">
        <v>364</v>
      </c>
      <c r="K185" s="77" t="s">
        <v>365</v>
      </c>
    </row>
    <row r="186" spans="1:11" ht="12.5" customHeight="1">
      <c r="A186" s="94">
        <v>9</v>
      </c>
      <c r="B186" s="77" t="s">
        <v>371</v>
      </c>
      <c r="C186" s="77" t="s">
        <v>12</v>
      </c>
      <c r="D186" s="77" t="s">
        <v>13</v>
      </c>
      <c r="E186" s="78" t="s">
        <v>124</v>
      </c>
      <c r="F186" s="77" t="s">
        <v>372</v>
      </c>
      <c r="G186" s="79">
        <v>46143</v>
      </c>
      <c r="H186" s="77" t="s">
        <v>16</v>
      </c>
      <c r="I186" s="77" t="s">
        <v>17</v>
      </c>
      <c r="J186" s="77" t="s">
        <v>373</v>
      </c>
      <c r="K186" s="84" t="s">
        <v>374</v>
      </c>
    </row>
    <row r="187" spans="1:11" ht="12.5" customHeight="1">
      <c r="A187" s="95"/>
      <c r="B187" s="77" t="s">
        <v>371</v>
      </c>
      <c r="C187" s="77" t="s">
        <v>12</v>
      </c>
      <c r="D187" s="77" t="s">
        <v>20</v>
      </c>
      <c r="E187" s="78" t="s">
        <v>375</v>
      </c>
      <c r="F187" s="77" t="s">
        <v>376</v>
      </c>
      <c r="G187" s="79">
        <v>46143</v>
      </c>
      <c r="H187" s="77" t="s">
        <v>16</v>
      </c>
      <c r="I187" s="77" t="s">
        <v>17</v>
      </c>
      <c r="J187" s="77" t="s">
        <v>377</v>
      </c>
      <c r="K187" s="84" t="s">
        <v>378</v>
      </c>
    </row>
    <row r="188" spans="1:11" ht="12.5" customHeight="1">
      <c r="A188" s="95"/>
      <c r="B188" s="77" t="s">
        <v>371</v>
      </c>
      <c r="C188" s="77" t="s">
        <v>12</v>
      </c>
      <c r="D188" s="77" t="s">
        <v>25</v>
      </c>
      <c r="E188" s="78" t="s">
        <v>26</v>
      </c>
      <c r="F188" s="77" t="s">
        <v>379</v>
      </c>
      <c r="G188" s="79">
        <v>46143</v>
      </c>
      <c r="H188" s="77" t="s">
        <v>16</v>
      </c>
      <c r="I188" s="77" t="s">
        <v>28</v>
      </c>
      <c r="J188" s="77" t="s">
        <v>380</v>
      </c>
      <c r="K188" s="84" t="s">
        <v>381</v>
      </c>
    </row>
    <row r="189" spans="1:11" ht="12.5" customHeight="1">
      <c r="A189" s="95"/>
      <c r="B189" s="77" t="s">
        <v>371</v>
      </c>
      <c r="C189" s="77" t="s">
        <v>30</v>
      </c>
      <c r="D189" s="77" t="s">
        <v>31</v>
      </c>
      <c r="E189" s="78" t="s">
        <v>32</v>
      </c>
      <c r="F189" s="77" t="s">
        <v>382</v>
      </c>
      <c r="G189" s="79">
        <v>46143</v>
      </c>
      <c r="H189" s="77" t="s">
        <v>16</v>
      </c>
      <c r="I189" s="77" t="s">
        <v>34</v>
      </c>
      <c r="J189" s="77" t="s">
        <v>383</v>
      </c>
      <c r="K189" s="84" t="s">
        <v>384</v>
      </c>
    </row>
    <row r="190" spans="1:11" ht="12.5" customHeight="1">
      <c r="A190" s="95"/>
      <c r="B190" s="77" t="s">
        <v>371</v>
      </c>
      <c r="C190" s="77" t="s">
        <v>30</v>
      </c>
      <c r="D190" s="77" t="s">
        <v>36</v>
      </c>
      <c r="E190" s="78" t="s">
        <v>385</v>
      </c>
      <c r="F190" s="77" t="s">
        <v>386</v>
      </c>
      <c r="G190" s="79" t="s">
        <v>138</v>
      </c>
      <c r="H190" s="77" t="s">
        <v>139</v>
      </c>
      <c r="I190" s="77" t="s">
        <v>17</v>
      </c>
      <c r="J190" s="77" t="s">
        <v>387</v>
      </c>
      <c r="K190" s="84" t="s">
        <v>388</v>
      </c>
    </row>
    <row r="191" spans="1:11" ht="12.5" customHeight="1">
      <c r="A191" s="95"/>
      <c r="B191" s="77" t="s">
        <v>371</v>
      </c>
      <c r="C191" s="77" t="s">
        <v>30</v>
      </c>
      <c r="D191" s="77" t="s">
        <v>40</v>
      </c>
      <c r="E191" s="78" t="s">
        <v>26</v>
      </c>
      <c r="F191" s="77" t="s">
        <v>659</v>
      </c>
      <c r="G191" s="79" t="s">
        <v>138</v>
      </c>
      <c r="H191" s="77" t="s">
        <v>139</v>
      </c>
      <c r="I191" s="77" t="s">
        <v>28</v>
      </c>
      <c r="J191" s="77" t="s">
        <v>389</v>
      </c>
      <c r="K191" s="84" t="s">
        <v>374</v>
      </c>
    </row>
    <row r="192" spans="1:11" ht="12.5" customHeight="1">
      <c r="A192" s="95"/>
      <c r="B192" s="77" t="s">
        <v>371</v>
      </c>
      <c r="C192" s="77" t="s">
        <v>30</v>
      </c>
      <c r="D192" s="77" t="s">
        <v>43</v>
      </c>
      <c r="E192" s="78" t="s">
        <v>44</v>
      </c>
      <c r="F192" s="77" t="s">
        <v>390</v>
      </c>
      <c r="G192" s="79">
        <v>46143</v>
      </c>
      <c r="H192" s="77" t="s">
        <v>16</v>
      </c>
      <c r="I192" s="77" t="s">
        <v>17</v>
      </c>
      <c r="J192" s="77" t="s">
        <v>391</v>
      </c>
      <c r="K192" s="84" t="s">
        <v>388</v>
      </c>
    </row>
    <row r="193" spans="1:11" ht="12.5" customHeight="1">
      <c r="A193" s="95"/>
      <c r="B193" s="77" t="s">
        <v>371</v>
      </c>
      <c r="C193" s="77" t="s">
        <v>30</v>
      </c>
      <c r="D193" s="77" t="s">
        <v>47</v>
      </c>
      <c r="E193" s="78" t="s">
        <v>48</v>
      </c>
      <c r="F193" s="77" t="s">
        <v>392</v>
      </c>
      <c r="G193" s="79">
        <v>46143</v>
      </c>
      <c r="H193" s="77" t="s">
        <v>16</v>
      </c>
      <c r="I193" s="77" t="s">
        <v>17</v>
      </c>
      <c r="J193" s="77" t="s">
        <v>393</v>
      </c>
      <c r="K193" s="84" t="s">
        <v>381</v>
      </c>
    </row>
    <row r="194" spans="1:11" ht="12.5" customHeight="1">
      <c r="A194" s="95"/>
      <c r="B194" s="77" t="s">
        <v>371</v>
      </c>
      <c r="C194" s="77" t="s">
        <v>30</v>
      </c>
      <c r="D194" s="77" t="s">
        <v>52</v>
      </c>
      <c r="E194" s="78" t="s">
        <v>53</v>
      </c>
      <c r="F194" s="77" t="s">
        <v>394</v>
      </c>
      <c r="G194" s="79">
        <v>46143</v>
      </c>
      <c r="H194" s="77" t="s">
        <v>16</v>
      </c>
      <c r="I194" s="77" t="s">
        <v>17</v>
      </c>
      <c r="J194" s="77" t="s">
        <v>395</v>
      </c>
      <c r="K194" s="84" t="s">
        <v>381</v>
      </c>
    </row>
    <row r="195" spans="1:11" ht="12.5" customHeight="1">
      <c r="A195" s="95"/>
      <c r="B195" s="77" t="s">
        <v>371</v>
      </c>
      <c r="C195" s="77" t="s">
        <v>30</v>
      </c>
      <c r="D195" s="77" t="s">
        <v>56</v>
      </c>
      <c r="E195" s="78" t="s">
        <v>396</v>
      </c>
      <c r="F195" s="77" t="s">
        <v>397</v>
      </c>
      <c r="G195" s="79">
        <v>46143</v>
      </c>
      <c r="H195" s="77" t="s">
        <v>16</v>
      </c>
      <c r="I195" s="77" t="s">
        <v>17</v>
      </c>
      <c r="J195" s="77" t="s">
        <v>398</v>
      </c>
      <c r="K195" s="84" t="s">
        <v>399</v>
      </c>
    </row>
    <row r="196" spans="1:11" ht="12.5" customHeight="1">
      <c r="A196" s="95"/>
      <c r="B196" s="77" t="s">
        <v>371</v>
      </c>
      <c r="C196" s="77" t="s">
        <v>30</v>
      </c>
      <c r="D196" s="77" t="s">
        <v>61</v>
      </c>
      <c r="E196" s="78" t="s">
        <v>62</v>
      </c>
      <c r="F196" s="77" t="s">
        <v>400</v>
      </c>
      <c r="G196" s="79">
        <v>46143</v>
      </c>
      <c r="H196" s="77" t="s">
        <v>16</v>
      </c>
      <c r="I196" s="77" t="s">
        <v>17</v>
      </c>
      <c r="J196" s="77" t="s">
        <v>401</v>
      </c>
      <c r="K196" s="84" t="s">
        <v>381</v>
      </c>
    </row>
    <row r="197" spans="1:11" ht="12.5" customHeight="1">
      <c r="A197" s="95"/>
      <c r="B197" s="77" t="s">
        <v>371</v>
      </c>
      <c r="C197" s="77" t="s">
        <v>65</v>
      </c>
      <c r="D197" s="77" t="s">
        <v>66</v>
      </c>
      <c r="E197" s="78" t="s">
        <v>67</v>
      </c>
      <c r="F197" s="77" t="s">
        <v>402</v>
      </c>
      <c r="G197" s="79">
        <v>46143</v>
      </c>
      <c r="H197" s="77" t="s">
        <v>254</v>
      </c>
      <c r="I197" s="77" t="s">
        <v>34</v>
      </c>
      <c r="J197" s="77" t="s">
        <v>403</v>
      </c>
      <c r="K197" s="84" t="s">
        <v>404</v>
      </c>
    </row>
    <row r="198" spans="1:11" ht="12.5" customHeight="1">
      <c r="A198" s="95"/>
      <c r="B198" s="77" t="s">
        <v>371</v>
      </c>
      <c r="C198" s="77" t="s">
        <v>65</v>
      </c>
      <c r="D198" s="77" t="s">
        <v>72</v>
      </c>
      <c r="E198" s="78" t="s">
        <v>73</v>
      </c>
      <c r="F198" s="77" t="s">
        <v>405</v>
      </c>
      <c r="G198" s="79">
        <v>46143</v>
      </c>
      <c r="H198" s="77" t="s">
        <v>16</v>
      </c>
      <c r="I198" s="77" t="s">
        <v>17</v>
      </c>
      <c r="J198" s="77" t="s">
        <v>406</v>
      </c>
      <c r="K198" s="84" t="s">
        <v>407</v>
      </c>
    </row>
    <row r="199" spans="1:11" ht="12.5" customHeight="1">
      <c r="A199" s="95"/>
      <c r="B199" s="77" t="s">
        <v>371</v>
      </c>
      <c r="C199" s="77" t="s">
        <v>65</v>
      </c>
      <c r="D199" s="77" t="s">
        <v>77</v>
      </c>
      <c r="E199" s="78" t="s">
        <v>26</v>
      </c>
      <c r="F199" s="77" t="s">
        <v>408</v>
      </c>
      <c r="G199" s="79">
        <v>46143</v>
      </c>
      <c r="H199" s="77" t="s">
        <v>16</v>
      </c>
      <c r="I199" s="77" t="s">
        <v>28</v>
      </c>
      <c r="J199" s="77" t="s">
        <v>409</v>
      </c>
      <c r="K199" s="84" t="s">
        <v>407</v>
      </c>
    </row>
    <row r="200" spans="1:11" ht="12.5" customHeight="1">
      <c r="A200" s="95"/>
      <c r="B200" s="77" t="s">
        <v>371</v>
      </c>
      <c r="C200" s="77" t="s">
        <v>65</v>
      </c>
      <c r="D200" s="77" t="s">
        <v>81</v>
      </c>
      <c r="E200" s="78" t="s">
        <v>82</v>
      </c>
      <c r="F200" s="77" t="s">
        <v>410</v>
      </c>
      <c r="G200" s="79">
        <v>46143</v>
      </c>
      <c r="H200" s="77" t="s">
        <v>16</v>
      </c>
      <c r="I200" s="77" t="s">
        <v>17</v>
      </c>
      <c r="J200" s="77" t="s">
        <v>411</v>
      </c>
      <c r="K200" s="84" t="s">
        <v>412</v>
      </c>
    </row>
    <row r="201" spans="1:11" ht="12.5" customHeight="1">
      <c r="A201" s="95"/>
      <c r="B201" s="77" t="s">
        <v>371</v>
      </c>
      <c r="C201" s="77" t="s">
        <v>85</v>
      </c>
      <c r="D201" s="77" t="s">
        <v>86</v>
      </c>
      <c r="E201" s="78" t="s">
        <v>413</v>
      </c>
      <c r="F201" s="77" t="s">
        <v>414</v>
      </c>
      <c r="G201" s="79">
        <v>46143</v>
      </c>
      <c r="H201" s="77" t="s">
        <v>16</v>
      </c>
      <c r="I201" s="77" t="s">
        <v>17</v>
      </c>
      <c r="J201" s="77" t="s">
        <v>415</v>
      </c>
      <c r="K201" s="84" t="s">
        <v>416</v>
      </c>
    </row>
    <row r="202" spans="1:11" ht="12.5" customHeight="1">
      <c r="A202" s="95"/>
      <c r="B202" s="77" t="s">
        <v>371</v>
      </c>
      <c r="C202" s="77" t="s">
        <v>65</v>
      </c>
      <c r="D202" s="77" t="s">
        <v>91</v>
      </c>
      <c r="E202" s="78" t="s">
        <v>92</v>
      </c>
      <c r="F202" s="77" t="s">
        <v>417</v>
      </c>
      <c r="G202" s="79">
        <v>46143</v>
      </c>
      <c r="H202" s="77" t="s">
        <v>16</v>
      </c>
      <c r="I202" s="77" t="s">
        <v>17</v>
      </c>
      <c r="J202" s="77" t="s">
        <v>418</v>
      </c>
      <c r="K202" s="84" t="s">
        <v>419</v>
      </c>
    </row>
    <row r="203" spans="1:11" ht="12.5" customHeight="1">
      <c r="A203" s="95"/>
      <c r="B203" s="77" t="s">
        <v>371</v>
      </c>
      <c r="C203" s="77" t="s">
        <v>65</v>
      </c>
      <c r="D203" s="77" t="s">
        <v>95</v>
      </c>
      <c r="E203" s="78" t="s">
        <v>96</v>
      </c>
      <c r="F203" s="77" t="s">
        <v>420</v>
      </c>
      <c r="G203" s="79">
        <v>46143</v>
      </c>
      <c r="H203" s="77" t="s">
        <v>16</v>
      </c>
      <c r="I203" s="77" t="s">
        <v>17</v>
      </c>
      <c r="J203" s="77" t="s">
        <v>421</v>
      </c>
      <c r="K203" s="84" t="s">
        <v>419</v>
      </c>
    </row>
    <row r="204" spans="1:11" ht="12.5" customHeight="1">
      <c r="A204" s="95"/>
      <c r="B204" s="77" t="s">
        <v>371</v>
      </c>
      <c r="C204" s="77" t="s">
        <v>65</v>
      </c>
      <c r="D204" s="77" t="s">
        <v>100</v>
      </c>
      <c r="E204" s="78" t="s">
        <v>26</v>
      </c>
      <c r="F204" s="77" t="s">
        <v>422</v>
      </c>
      <c r="G204" s="79">
        <v>46143</v>
      </c>
      <c r="H204" s="77" t="s">
        <v>16</v>
      </c>
      <c r="I204" s="77" t="s">
        <v>28</v>
      </c>
      <c r="J204" s="77" t="s">
        <v>423</v>
      </c>
      <c r="K204" s="84" t="s">
        <v>381</v>
      </c>
    </row>
    <row r="205" spans="1:11" ht="12.5" customHeight="1">
      <c r="A205" s="95"/>
      <c r="B205" s="77" t="s">
        <v>371</v>
      </c>
      <c r="C205" s="77" t="s">
        <v>85</v>
      </c>
      <c r="D205" s="77" t="s">
        <v>103</v>
      </c>
      <c r="E205" s="78" t="s">
        <v>424</v>
      </c>
      <c r="F205" s="77" t="s">
        <v>425</v>
      </c>
      <c r="G205" s="79">
        <v>46143</v>
      </c>
      <c r="H205" s="77" t="s">
        <v>16</v>
      </c>
      <c r="I205" s="77" t="s">
        <v>17</v>
      </c>
      <c r="J205" s="77" t="s">
        <v>426</v>
      </c>
      <c r="K205" s="84" t="s">
        <v>427</v>
      </c>
    </row>
    <row r="206" spans="1:11" ht="12.5" customHeight="1">
      <c r="A206" s="95"/>
      <c r="B206" s="77" t="s">
        <v>371</v>
      </c>
      <c r="C206" s="77" t="s">
        <v>85</v>
      </c>
      <c r="D206" s="77" t="s">
        <v>108</v>
      </c>
      <c r="E206" s="78" t="s">
        <v>428</v>
      </c>
      <c r="F206" s="77" t="s">
        <v>429</v>
      </c>
      <c r="G206" s="79">
        <v>46143</v>
      </c>
      <c r="H206" s="77" t="s">
        <v>16</v>
      </c>
      <c r="I206" s="77" t="s">
        <v>17</v>
      </c>
      <c r="J206" s="77" t="s">
        <v>430</v>
      </c>
      <c r="K206" s="84" t="s">
        <v>384</v>
      </c>
    </row>
    <row r="207" spans="1:11" ht="12.5" customHeight="1">
      <c r="A207" s="95"/>
      <c r="B207" s="77" t="s">
        <v>371</v>
      </c>
      <c r="C207" s="77" t="s">
        <v>112</v>
      </c>
      <c r="D207" s="77" t="s">
        <v>113</v>
      </c>
      <c r="E207" s="78" t="s">
        <v>431</v>
      </c>
      <c r="F207" s="77" t="s">
        <v>432</v>
      </c>
      <c r="G207" s="79">
        <v>46143</v>
      </c>
      <c r="H207" s="77" t="s">
        <v>16</v>
      </c>
      <c r="I207" s="77" t="s">
        <v>17</v>
      </c>
      <c r="J207" s="77" t="s">
        <v>433</v>
      </c>
      <c r="K207" s="84" t="s">
        <v>434</v>
      </c>
    </row>
    <row r="208" spans="1:11" ht="12.5" customHeight="1">
      <c r="A208" s="95"/>
      <c r="B208" s="77" t="s">
        <v>371</v>
      </c>
      <c r="C208" s="77" t="s">
        <v>112</v>
      </c>
      <c r="D208" s="77" t="s">
        <v>118</v>
      </c>
      <c r="E208" s="78" t="s">
        <v>183</v>
      </c>
      <c r="F208" s="77" t="s">
        <v>435</v>
      </c>
      <c r="G208" s="79">
        <v>46143</v>
      </c>
      <c r="H208" s="77" t="s">
        <v>16</v>
      </c>
      <c r="I208" s="77" t="s">
        <v>17</v>
      </c>
      <c r="J208" s="77" t="s">
        <v>436</v>
      </c>
      <c r="K208" s="84" t="s">
        <v>374</v>
      </c>
    </row>
    <row r="209" spans="1:11" ht="12.5" customHeight="1">
      <c r="A209" s="96">
        <v>10</v>
      </c>
      <c r="B209" s="77" t="s">
        <v>437</v>
      </c>
      <c r="C209" s="77" t="s">
        <v>12</v>
      </c>
      <c r="D209" s="77" t="s">
        <v>13</v>
      </c>
      <c r="E209" s="78" t="s">
        <v>247</v>
      </c>
      <c r="F209" s="77" t="s">
        <v>438</v>
      </c>
      <c r="G209" s="79">
        <v>46143</v>
      </c>
      <c r="H209" s="77" t="s">
        <v>189</v>
      </c>
      <c r="I209" s="77" t="s">
        <v>17</v>
      </c>
      <c r="J209" s="77" t="s">
        <v>439</v>
      </c>
      <c r="K209" s="84" t="s">
        <v>440</v>
      </c>
    </row>
    <row r="210" spans="1:11" ht="12.5" customHeight="1">
      <c r="A210" s="95"/>
      <c r="B210" s="77" t="s">
        <v>437</v>
      </c>
      <c r="C210" s="77" t="s">
        <v>12</v>
      </c>
      <c r="D210" s="77" t="s">
        <v>20</v>
      </c>
      <c r="E210" s="78" t="s">
        <v>21</v>
      </c>
      <c r="F210" s="77" t="s">
        <v>441</v>
      </c>
      <c r="G210" s="79">
        <v>46143</v>
      </c>
      <c r="H210" s="77" t="s">
        <v>189</v>
      </c>
      <c r="I210" s="77" t="s">
        <v>17</v>
      </c>
      <c r="J210" s="77" t="s">
        <v>442</v>
      </c>
      <c r="K210" s="84" t="s">
        <v>440</v>
      </c>
    </row>
    <row r="211" spans="1:11" ht="12.5" customHeight="1">
      <c r="A211" s="95"/>
      <c r="B211" s="77" t="s">
        <v>437</v>
      </c>
      <c r="C211" s="77" t="s">
        <v>12</v>
      </c>
      <c r="D211" s="77" t="s">
        <v>25</v>
      </c>
      <c r="E211" s="78" t="s">
        <v>26</v>
      </c>
      <c r="F211" s="77" t="s">
        <v>443</v>
      </c>
      <c r="G211" s="79">
        <v>46143</v>
      </c>
      <c r="H211" s="77" t="s">
        <v>16</v>
      </c>
      <c r="I211" s="77" t="s">
        <v>28</v>
      </c>
      <c r="J211" s="77" t="s">
        <v>29</v>
      </c>
      <c r="K211" s="84" t="s">
        <v>444</v>
      </c>
    </row>
    <row r="212" spans="1:11" ht="12.5" customHeight="1">
      <c r="A212" s="95"/>
      <c r="B212" s="77" t="s">
        <v>437</v>
      </c>
      <c r="C212" s="77" t="s">
        <v>30</v>
      </c>
      <c r="D212" s="77" t="s">
        <v>31</v>
      </c>
      <c r="E212" s="78" t="s">
        <v>32</v>
      </c>
      <c r="F212" s="77" t="s">
        <v>445</v>
      </c>
      <c r="G212" s="79">
        <v>46143</v>
      </c>
      <c r="H212" s="77" t="s">
        <v>16</v>
      </c>
      <c r="I212" s="77" t="s">
        <v>17</v>
      </c>
      <c r="J212" s="77" t="s">
        <v>446</v>
      </c>
      <c r="K212" s="84" t="s">
        <v>444</v>
      </c>
    </row>
    <row r="213" spans="1:11" ht="12.5" customHeight="1">
      <c r="A213" s="95"/>
      <c r="B213" s="77" t="s">
        <v>437</v>
      </c>
      <c r="C213" s="77" t="s">
        <v>30</v>
      </c>
      <c r="D213" s="77" t="s">
        <v>36</v>
      </c>
      <c r="E213" s="78" t="s">
        <v>135</v>
      </c>
      <c r="F213" s="77" t="s">
        <v>447</v>
      </c>
      <c r="G213" s="79">
        <v>46143</v>
      </c>
      <c r="H213" s="77" t="s">
        <v>16</v>
      </c>
      <c r="I213" s="77" t="s">
        <v>34</v>
      </c>
      <c r="J213" s="77" t="s">
        <v>448</v>
      </c>
      <c r="K213" s="84" t="s">
        <v>444</v>
      </c>
    </row>
    <row r="214" spans="1:11" ht="12.5" customHeight="1">
      <c r="A214" s="95"/>
      <c r="B214" s="77" t="s">
        <v>437</v>
      </c>
      <c r="C214" s="77" t="s">
        <v>30</v>
      </c>
      <c r="D214" s="77" t="s">
        <v>40</v>
      </c>
      <c r="E214" s="78" t="s">
        <v>26</v>
      </c>
      <c r="F214" s="77" t="s">
        <v>449</v>
      </c>
      <c r="G214" s="79">
        <v>46143</v>
      </c>
      <c r="H214" s="77" t="s">
        <v>16</v>
      </c>
      <c r="I214" s="77" t="s">
        <v>28</v>
      </c>
      <c r="J214" s="77" t="s">
        <v>450</v>
      </c>
      <c r="K214" s="84" t="s">
        <v>444</v>
      </c>
    </row>
    <row r="215" spans="1:11" ht="12.5" customHeight="1">
      <c r="A215" s="95"/>
      <c r="B215" s="77" t="s">
        <v>437</v>
      </c>
      <c r="C215" s="77" t="s">
        <v>30</v>
      </c>
      <c r="D215" s="77" t="s">
        <v>43</v>
      </c>
      <c r="E215" s="78" t="s">
        <v>44</v>
      </c>
      <c r="F215" s="77" t="s">
        <v>451</v>
      </c>
      <c r="G215" s="79">
        <v>46143</v>
      </c>
      <c r="H215" s="77" t="s">
        <v>452</v>
      </c>
      <c r="I215" s="77" t="s">
        <v>17</v>
      </c>
      <c r="J215" s="77" t="s">
        <v>453</v>
      </c>
      <c r="K215" s="77" t="s">
        <v>454</v>
      </c>
    </row>
    <row r="216" spans="1:11" ht="12.5" customHeight="1">
      <c r="A216" s="95"/>
      <c r="B216" s="77" t="s">
        <v>437</v>
      </c>
      <c r="C216" s="77" t="s">
        <v>30</v>
      </c>
      <c r="D216" s="77" t="s">
        <v>47</v>
      </c>
      <c r="E216" s="78" t="s">
        <v>455</v>
      </c>
      <c r="F216" s="77" t="s">
        <v>456</v>
      </c>
      <c r="G216" s="79">
        <v>46143</v>
      </c>
      <c r="H216" s="77" t="s">
        <v>16</v>
      </c>
      <c r="I216" s="77" t="s">
        <v>17</v>
      </c>
      <c r="J216" s="77" t="s">
        <v>457</v>
      </c>
      <c r="K216" s="84" t="s">
        <v>444</v>
      </c>
    </row>
    <row r="217" spans="1:11" ht="12.5" customHeight="1">
      <c r="A217" s="95"/>
      <c r="B217" s="77" t="s">
        <v>437</v>
      </c>
      <c r="C217" s="77" t="s">
        <v>30</v>
      </c>
      <c r="D217" s="77" t="s">
        <v>52</v>
      </c>
      <c r="E217" s="78" t="s">
        <v>53</v>
      </c>
      <c r="F217" s="77" t="s">
        <v>458</v>
      </c>
      <c r="G217" s="79">
        <v>46143</v>
      </c>
      <c r="H217" s="77" t="s">
        <v>16</v>
      </c>
      <c r="I217" s="77" t="s">
        <v>17</v>
      </c>
      <c r="J217" s="77" t="s">
        <v>459</v>
      </c>
      <c r="K217" s="84" t="s">
        <v>444</v>
      </c>
    </row>
    <row r="218" spans="1:11" ht="12.5" customHeight="1">
      <c r="A218" s="95"/>
      <c r="B218" s="77" t="s">
        <v>437</v>
      </c>
      <c r="C218" s="77" t="s">
        <v>30</v>
      </c>
      <c r="D218" s="77" t="s">
        <v>56</v>
      </c>
      <c r="E218" s="78" t="s">
        <v>460</v>
      </c>
      <c r="F218" s="77" t="s">
        <v>461</v>
      </c>
      <c r="G218" s="79">
        <v>46143</v>
      </c>
      <c r="H218" s="77" t="s">
        <v>16</v>
      </c>
      <c r="I218" s="77" t="s">
        <v>17</v>
      </c>
      <c r="J218" s="77" t="s">
        <v>462</v>
      </c>
      <c r="K218" s="84" t="s">
        <v>444</v>
      </c>
    </row>
    <row r="219" spans="1:11" ht="12.5" customHeight="1">
      <c r="A219" s="95"/>
      <c r="B219" s="77" t="s">
        <v>437</v>
      </c>
      <c r="C219" s="77" t="s">
        <v>30</v>
      </c>
      <c r="D219" s="77" t="s">
        <v>61</v>
      </c>
      <c r="E219" s="78" t="s">
        <v>26</v>
      </c>
      <c r="F219" s="77" t="s">
        <v>463</v>
      </c>
      <c r="G219" s="79">
        <v>46143</v>
      </c>
      <c r="H219" s="77" t="s">
        <v>16</v>
      </c>
      <c r="I219" s="77" t="s">
        <v>28</v>
      </c>
      <c r="J219" s="77" t="s">
        <v>464</v>
      </c>
      <c r="K219" s="84" t="s">
        <v>444</v>
      </c>
    </row>
    <row r="220" spans="1:11" ht="12.5" customHeight="1">
      <c r="A220" s="95"/>
      <c r="B220" s="77" t="s">
        <v>437</v>
      </c>
      <c r="C220" s="77" t="s">
        <v>65</v>
      </c>
      <c r="D220" s="77" t="s">
        <v>66</v>
      </c>
      <c r="E220" s="78" t="s">
        <v>67</v>
      </c>
      <c r="F220" s="77" t="s">
        <v>465</v>
      </c>
      <c r="G220" s="79">
        <v>46143</v>
      </c>
      <c r="H220" s="77" t="s">
        <v>69</v>
      </c>
      <c r="I220" s="77" t="s">
        <v>17</v>
      </c>
      <c r="J220" s="77" t="s">
        <v>70</v>
      </c>
      <c r="K220" s="84" t="s">
        <v>466</v>
      </c>
    </row>
    <row r="221" spans="1:11" ht="12.5" customHeight="1">
      <c r="A221" s="95"/>
      <c r="B221" s="77" t="s">
        <v>437</v>
      </c>
      <c r="C221" s="77" t="s">
        <v>65</v>
      </c>
      <c r="D221" s="77" t="s">
        <v>72</v>
      </c>
      <c r="E221" s="78" t="s">
        <v>26</v>
      </c>
      <c r="F221" s="77" t="s">
        <v>467</v>
      </c>
      <c r="G221" s="79">
        <v>46143</v>
      </c>
      <c r="H221" s="77" t="s">
        <v>16</v>
      </c>
      <c r="I221" s="77" t="s">
        <v>28</v>
      </c>
      <c r="J221" s="77" t="s">
        <v>468</v>
      </c>
      <c r="K221" s="84" t="s">
        <v>444</v>
      </c>
    </row>
    <row r="222" spans="1:11" ht="12.5" customHeight="1">
      <c r="A222" s="95"/>
      <c r="B222" s="77" t="s">
        <v>437</v>
      </c>
      <c r="C222" s="77" t="s">
        <v>65</v>
      </c>
      <c r="D222" s="77" t="s">
        <v>77</v>
      </c>
      <c r="E222" s="78" t="s">
        <v>26</v>
      </c>
      <c r="F222" s="77" t="s">
        <v>469</v>
      </c>
      <c r="G222" s="79">
        <v>46143</v>
      </c>
      <c r="H222" s="77" t="s">
        <v>16</v>
      </c>
      <c r="I222" s="77" t="s">
        <v>28</v>
      </c>
      <c r="J222" s="77" t="s">
        <v>470</v>
      </c>
      <c r="K222" s="84" t="s">
        <v>444</v>
      </c>
    </row>
    <row r="223" spans="1:11" ht="12.5" customHeight="1">
      <c r="A223" s="95"/>
      <c r="B223" s="77" t="s">
        <v>437</v>
      </c>
      <c r="C223" s="77" t="s">
        <v>65</v>
      </c>
      <c r="D223" s="77" t="s">
        <v>81</v>
      </c>
      <c r="E223" s="78" t="s">
        <v>82</v>
      </c>
      <c r="F223" s="77" t="s">
        <v>471</v>
      </c>
      <c r="G223" s="79">
        <v>46143</v>
      </c>
      <c r="H223" s="77" t="s">
        <v>16</v>
      </c>
      <c r="I223" s="77" t="s">
        <v>17</v>
      </c>
      <c r="J223" s="77" t="s">
        <v>472</v>
      </c>
      <c r="K223" s="84" t="s">
        <v>444</v>
      </c>
    </row>
    <row r="224" spans="1:11" ht="12.5" customHeight="1">
      <c r="A224" s="95"/>
      <c r="B224" s="77" t="s">
        <v>437</v>
      </c>
      <c r="C224" s="77" t="s">
        <v>85</v>
      </c>
      <c r="D224" s="77" t="s">
        <v>86</v>
      </c>
      <c r="E224" s="78" t="s">
        <v>473</v>
      </c>
      <c r="F224" s="77" t="s">
        <v>474</v>
      </c>
      <c r="G224" s="79">
        <v>46143</v>
      </c>
      <c r="H224" s="77" t="s">
        <v>475</v>
      </c>
      <c r="I224" s="77" t="s">
        <v>17</v>
      </c>
      <c r="J224" s="77" t="s">
        <v>476</v>
      </c>
      <c r="K224" s="77" t="s">
        <v>477</v>
      </c>
    </row>
    <row r="225" spans="1:11" ht="12.5" customHeight="1">
      <c r="A225" s="95"/>
      <c r="B225" s="77" t="s">
        <v>437</v>
      </c>
      <c r="C225" s="77" t="s">
        <v>65</v>
      </c>
      <c r="D225" s="77" t="s">
        <v>91</v>
      </c>
      <c r="E225" s="78" t="s">
        <v>92</v>
      </c>
      <c r="F225" s="77" t="s">
        <v>478</v>
      </c>
      <c r="G225" s="79">
        <v>46143</v>
      </c>
      <c r="H225" s="77" t="s">
        <v>16</v>
      </c>
      <c r="I225" s="77" t="s">
        <v>17</v>
      </c>
      <c r="J225" s="77" t="s">
        <v>479</v>
      </c>
      <c r="K225" s="84" t="s">
        <v>444</v>
      </c>
    </row>
    <row r="226" spans="1:11" ht="12.5" customHeight="1">
      <c r="A226" s="95"/>
      <c r="B226" s="77" t="s">
        <v>437</v>
      </c>
      <c r="C226" s="77" t="s">
        <v>65</v>
      </c>
      <c r="D226" s="77" t="s">
        <v>95</v>
      </c>
      <c r="E226" s="78" t="s">
        <v>231</v>
      </c>
      <c r="F226" s="77" t="s">
        <v>480</v>
      </c>
      <c r="G226" s="79">
        <v>46143</v>
      </c>
      <c r="H226" s="77" t="s">
        <v>16</v>
      </c>
      <c r="I226" s="77" t="s">
        <v>17</v>
      </c>
      <c r="J226" s="77" t="s">
        <v>481</v>
      </c>
      <c r="K226" s="84" t="s">
        <v>444</v>
      </c>
    </row>
    <row r="227" spans="1:11" ht="12.5" customHeight="1">
      <c r="A227" s="95"/>
      <c r="B227" s="77" t="s">
        <v>437</v>
      </c>
      <c r="C227" s="77" t="s">
        <v>65</v>
      </c>
      <c r="D227" s="77" t="s">
        <v>100</v>
      </c>
      <c r="E227" s="78" t="s">
        <v>171</v>
      </c>
      <c r="F227" s="77" t="s">
        <v>482</v>
      </c>
      <c r="G227" s="79">
        <v>46143</v>
      </c>
      <c r="H227" s="77" t="s">
        <v>189</v>
      </c>
      <c r="I227" s="77" t="s">
        <v>17</v>
      </c>
      <c r="J227" s="77" t="s">
        <v>483</v>
      </c>
      <c r="K227" s="84" t="s">
        <v>440</v>
      </c>
    </row>
    <row r="228" spans="1:11" ht="12.5" customHeight="1">
      <c r="A228" s="95"/>
      <c r="B228" s="77" t="s">
        <v>437</v>
      </c>
      <c r="C228" s="77" t="s">
        <v>85</v>
      </c>
      <c r="D228" s="77" t="s">
        <v>103</v>
      </c>
      <c r="E228" s="78" t="s">
        <v>484</v>
      </c>
      <c r="F228" s="77" t="s">
        <v>485</v>
      </c>
      <c r="G228" s="79">
        <v>46143</v>
      </c>
      <c r="H228" s="77" t="s">
        <v>16</v>
      </c>
      <c r="I228" s="77" t="s">
        <v>17</v>
      </c>
      <c r="J228" s="77" t="s">
        <v>486</v>
      </c>
      <c r="K228" s="84" t="s">
        <v>487</v>
      </c>
    </row>
    <row r="229" spans="1:11" ht="12.5" customHeight="1">
      <c r="A229" s="95"/>
      <c r="B229" s="77" t="s">
        <v>437</v>
      </c>
      <c r="C229" s="77" t="s">
        <v>85</v>
      </c>
      <c r="D229" s="77" t="s">
        <v>108</v>
      </c>
      <c r="E229" s="78" t="s">
        <v>488</v>
      </c>
      <c r="F229" s="77" t="s">
        <v>489</v>
      </c>
      <c r="G229" s="79">
        <v>46143</v>
      </c>
      <c r="H229" s="77" t="s">
        <v>490</v>
      </c>
      <c r="I229" s="77" t="s">
        <v>17</v>
      </c>
      <c r="J229" s="77" t="s">
        <v>491</v>
      </c>
      <c r="K229" s="77" t="s">
        <v>492</v>
      </c>
    </row>
    <row r="230" spans="1:11" ht="12.5" customHeight="1">
      <c r="A230" s="95"/>
      <c r="B230" s="77" t="s">
        <v>437</v>
      </c>
      <c r="C230" s="77" t="s">
        <v>112</v>
      </c>
      <c r="D230" s="77" t="s">
        <v>113</v>
      </c>
      <c r="E230" s="78" t="s">
        <v>493</v>
      </c>
      <c r="F230" s="77" t="s">
        <v>494</v>
      </c>
      <c r="G230" s="79">
        <v>46143</v>
      </c>
      <c r="H230" s="77" t="s">
        <v>16</v>
      </c>
      <c r="I230" s="77" t="s">
        <v>17</v>
      </c>
      <c r="J230" s="77" t="s">
        <v>495</v>
      </c>
      <c r="K230" s="84" t="s">
        <v>444</v>
      </c>
    </row>
    <row r="231" spans="1:11" ht="12.5" customHeight="1">
      <c r="A231" s="95"/>
      <c r="B231" s="77" t="s">
        <v>437</v>
      </c>
      <c r="C231" s="77" t="s">
        <v>112</v>
      </c>
      <c r="D231" s="77" t="s">
        <v>118</v>
      </c>
      <c r="E231" s="78" t="s">
        <v>496</v>
      </c>
      <c r="F231" s="77" t="s">
        <v>497</v>
      </c>
      <c r="G231" s="79">
        <v>46143</v>
      </c>
      <c r="H231" s="77" t="s">
        <v>16</v>
      </c>
      <c r="I231" s="77" t="s">
        <v>17</v>
      </c>
      <c r="J231" s="77" t="s">
        <v>498</v>
      </c>
      <c r="K231" s="84" t="s">
        <v>444</v>
      </c>
    </row>
    <row r="232" spans="1:11" ht="12.5" customHeight="1">
      <c r="A232" s="94">
        <v>11</v>
      </c>
      <c r="B232" s="77" t="s">
        <v>499</v>
      </c>
      <c r="C232" s="77" t="s">
        <v>12</v>
      </c>
      <c r="D232" s="77" t="s">
        <v>13</v>
      </c>
      <c r="E232" s="78" t="s">
        <v>247</v>
      </c>
      <c r="F232" s="77" t="s">
        <v>500</v>
      </c>
      <c r="G232" s="79">
        <v>46143</v>
      </c>
      <c r="H232" s="77" t="s">
        <v>16</v>
      </c>
      <c r="I232" s="77" t="s">
        <v>34</v>
      </c>
      <c r="J232" s="77" t="s">
        <v>500</v>
      </c>
      <c r="K232" s="84" t="s">
        <v>501</v>
      </c>
    </row>
    <row r="233" spans="1:11" ht="12.5" customHeight="1">
      <c r="A233" s="95"/>
      <c r="B233" s="77" t="s">
        <v>499</v>
      </c>
      <c r="C233" s="77" t="s">
        <v>12</v>
      </c>
      <c r="D233" s="77" t="s">
        <v>20</v>
      </c>
      <c r="E233" s="78" t="s">
        <v>502</v>
      </c>
      <c r="F233" s="77" t="s">
        <v>503</v>
      </c>
      <c r="G233" s="79">
        <v>46143</v>
      </c>
      <c r="H233" s="77" t="s">
        <v>16</v>
      </c>
      <c r="I233" s="77" t="s">
        <v>34</v>
      </c>
      <c r="J233" s="77" t="s">
        <v>503</v>
      </c>
      <c r="K233" s="84" t="s">
        <v>501</v>
      </c>
    </row>
    <row r="234" spans="1:11" ht="12.5" customHeight="1">
      <c r="A234" s="95"/>
      <c r="B234" s="77" t="s">
        <v>499</v>
      </c>
      <c r="C234" s="77" t="s">
        <v>12</v>
      </c>
      <c r="D234" s="77" t="s">
        <v>25</v>
      </c>
      <c r="E234" s="78" t="s">
        <v>26</v>
      </c>
      <c r="F234" s="77" t="s">
        <v>504</v>
      </c>
      <c r="G234" s="79">
        <v>46143</v>
      </c>
      <c r="H234" s="77" t="s">
        <v>16</v>
      </c>
      <c r="I234" s="77" t="s">
        <v>28</v>
      </c>
      <c r="J234" s="77" t="s">
        <v>317</v>
      </c>
      <c r="K234" s="84" t="s">
        <v>505</v>
      </c>
    </row>
    <row r="235" spans="1:11" ht="12.5" customHeight="1">
      <c r="A235" s="95"/>
      <c r="B235" s="77" t="s">
        <v>499</v>
      </c>
      <c r="C235" s="77" t="s">
        <v>30</v>
      </c>
      <c r="D235" s="77" t="s">
        <v>31</v>
      </c>
      <c r="E235" s="78" t="s">
        <v>506</v>
      </c>
      <c r="F235" s="77" t="s">
        <v>507</v>
      </c>
      <c r="G235" s="79">
        <v>46143</v>
      </c>
      <c r="H235" s="77" t="s">
        <v>16</v>
      </c>
      <c r="I235" s="77" t="s">
        <v>508</v>
      </c>
      <c r="J235" s="77" t="s">
        <v>660</v>
      </c>
      <c r="K235" s="84" t="s">
        <v>501</v>
      </c>
    </row>
    <row r="236" spans="1:11" ht="12.5" customHeight="1">
      <c r="A236" s="95"/>
      <c r="B236" s="77" t="s">
        <v>499</v>
      </c>
      <c r="C236" s="77" t="s">
        <v>30</v>
      </c>
      <c r="D236" s="77" t="s">
        <v>36</v>
      </c>
      <c r="E236" s="78" t="s">
        <v>509</v>
      </c>
      <c r="F236" s="77" t="s">
        <v>510</v>
      </c>
      <c r="G236" s="79">
        <v>46143</v>
      </c>
      <c r="H236" s="77" t="s">
        <v>16</v>
      </c>
      <c r="I236" s="77" t="s">
        <v>508</v>
      </c>
      <c r="J236" s="77" t="s">
        <v>510</v>
      </c>
      <c r="K236" s="84" t="s">
        <v>501</v>
      </c>
    </row>
    <row r="237" spans="1:11" ht="12.5" customHeight="1">
      <c r="A237" s="95"/>
      <c r="B237" s="77" t="s">
        <v>499</v>
      </c>
      <c r="C237" s="77" t="s">
        <v>30</v>
      </c>
      <c r="D237" s="77" t="s">
        <v>40</v>
      </c>
      <c r="E237" s="78" t="s">
        <v>26</v>
      </c>
      <c r="F237" s="77" t="s">
        <v>511</v>
      </c>
      <c r="G237" s="79">
        <v>46143</v>
      </c>
      <c r="H237" s="77" t="s">
        <v>16</v>
      </c>
      <c r="I237" s="77" t="s">
        <v>508</v>
      </c>
      <c r="J237" s="77" t="s">
        <v>42</v>
      </c>
      <c r="K237" s="84" t="s">
        <v>505</v>
      </c>
    </row>
    <row r="238" spans="1:11" ht="12.5" customHeight="1">
      <c r="A238" s="95"/>
      <c r="B238" s="77" t="s">
        <v>499</v>
      </c>
      <c r="C238" s="77" t="s">
        <v>30</v>
      </c>
      <c r="D238" s="77" t="s">
        <v>43</v>
      </c>
      <c r="E238" s="78" t="s">
        <v>44</v>
      </c>
      <c r="F238" s="77" t="s">
        <v>512</v>
      </c>
      <c r="G238" s="79">
        <v>46143</v>
      </c>
      <c r="H238" s="77" t="s">
        <v>16</v>
      </c>
      <c r="I238" s="77" t="s">
        <v>34</v>
      </c>
      <c r="J238" s="77" t="s">
        <v>513</v>
      </c>
      <c r="K238" s="84" t="s">
        <v>514</v>
      </c>
    </row>
    <row r="239" spans="1:11" ht="12.5" customHeight="1">
      <c r="A239" s="95"/>
      <c r="B239" s="77" t="s">
        <v>499</v>
      </c>
      <c r="C239" s="77" t="s">
        <v>30</v>
      </c>
      <c r="D239" s="77" t="s">
        <v>47</v>
      </c>
      <c r="E239" s="78" t="s">
        <v>48</v>
      </c>
      <c r="F239" s="77" t="s">
        <v>515</v>
      </c>
      <c r="G239" s="79">
        <v>46143</v>
      </c>
      <c r="H239" s="77" t="s">
        <v>16</v>
      </c>
      <c r="I239" s="77" t="s">
        <v>17</v>
      </c>
      <c r="J239" s="77" t="s">
        <v>516</v>
      </c>
      <c r="K239" s="97" t="s">
        <v>505</v>
      </c>
    </row>
    <row r="240" spans="1:11" ht="12.5" customHeight="1">
      <c r="A240" s="95"/>
      <c r="B240" s="77" t="s">
        <v>499</v>
      </c>
      <c r="C240" s="77" t="s">
        <v>30</v>
      </c>
      <c r="D240" s="77" t="s">
        <v>52</v>
      </c>
      <c r="E240" s="78" t="s">
        <v>517</v>
      </c>
      <c r="F240" s="77" t="s">
        <v>518</v>
      </c>
      <c r="G240" s="79">
        <v>46143</v>
      </c>
      <c r="H240" s="77" t="s">
        <v>16</v>
      </c>
      <c r="I240" s="77" t="s">
        <v>17</v>
      </c>
      <c r="J240" s="77" t="s">
        <v>519</v>
      </c>
      <c r="K240" s="95"/>
    </row>
    <row r="241" spans="1:11" ht="12.5" customHeight="1">
      <c r="A241" s="95"/>
      <c r="B241" s="77" t="s">
        <v>499</v>
      </c>
      <c r="C241" s="77" t="s">
        <v>30</v>
      </c>
      <c r="D241" s="77" t="s">
        <v>56</v>
      </c>
      <c r="E241" s="78" t="s">
        <v>26</v>
      </c>
      <c r="F241" s="77" t="s">
        <v>520</v>
      </c>
      <c r="G241" s="79">
        <v>46143</v>
      </c>
      <c r="H241" s="77" t="s">
        <v>16</v>
      </c>
      <c r="I241" s="77" t="s">
        <v>28</v>
      </c>
      <c r="J241" s="77" t="s">
        <v>521</v>
      </c>
      <c r="K241" s="97" t="s">
        <v>522</v>
      </c>
    </row>
    <row r="242" spans="1:11" ht="12.5" customHeight="1">
      <c r="A242" s="95"/>
      <c r="B242" s="77" t="s">
        <v>499</v>
      </c>
      <c r="C242" s="77" t="s">
        <v>30</v>
      </c>
      <c r="D242" s="77" t="s">
        <v>61</v>
      </c>
      <c r="E242" s="78" t="s">
        <v>334</v>
      </c>
      <c r="F242" s="77" t="s">
        <v>523</v>
      </c>
      <c r="G242" s="79">
        <v>46143</v>
      </c>
      <c r="H242" s="77" t="s">
        <v>16</v>
      </c>
      <c r="I242" s="77" t="s">
        <v>34</v>
      </c>
      <c r="J242" s="77" t="s">
        <v>524</v>
      </c>
      <c r="K242" s="95"/>
    </row>
    <row r="243" spans="1:11" ht="12.5" customHeight="1">
      <c r="A243" s="95"/>
      <c r="B243" s="77" t="s">
        <v>499</v>
      </c>
      <c r="C243" s="77" t="s">
        <v>65</v>
      </c>
      <c r="D243" s="77" t="s">
        <v>66</v>
      </c>
      <c r="E243" s="78" t="s">
        <v>78</v>
      </c>
      <c r="F243" s="77" t="s">
        <v>525</v>
      </c>
      <c r="G243" s="79">
        <v>46143</v>
      </c>
      <c r="H243" s="77" t="s">
        <v>254</v>
      </c>
      <c r="I243" s="77" t="s">
        <v>17</v>
      </c>
      <c r="J243" s="77" t="s">
        <v>526</v>
      </c>
      <c r="K243" s="84" t="s">
        <v>527</v>
      </c>
    </row>
    <row r="244" spans="1:11" ht="12.5" customHeight="1">
      <c r="A244" s="95"/>
      <c r="B244" s="77" t="s">
        <v>499</v>
      </c>
      <c r="C244" s="77" t="s">
        <v>65</v>
      </c>
      <c r="D244" s="77" t="s">
        <v>72</v>
      </c>
      <c r="E244" s="78" t="s">
        <v>73</v>
      </c>
      <c r="F244" s="77" t="s">
        <v>528</v>
      </c>
      <c r="G244" s="79">
        <v>46143</v>
      </c>
      <c r="H244" s="77" t="s">
        <v>16</v>
      </c>
      <c r="I244" s="77" t="s">
        <v>17</v>
      </c>
      <c r="J244" s="77" t="s">
        <v>529</v>
      </c>
      <c r="K244" s="97" t="s">
        <v>530</v>
      </c>
    </row>
    <row r="245" spans="1:11" ht="12.5" customHeight="1">
      <c r="A245" s="95"/>
      <c r="B245" s="77" t="s">
        <v>499</v>
      </c>
      <c r="C245" s="77" t="s">
        <v>65</v>
      </c>
      <c r="D245" s="77" t="s">
        <v>77</v>
      </c>
      <c r="E245" s="78" t="s">
        <v>26</v>
      </c>
      <c r="F245" s="77" t="s">
        <v>531</v>
      </c>
      <c r="G245" s="79">
        <v>46143</v>
      </c>
      <c r="H245" s="77" t="s">
        <v>16</v>
      </c>
      <c r="I245" s="77" t="s">
        <v>28</v>
      </c>
      <c r="J245" s="77" t="s">
        <v>532</v>
      </c>
      <c r="K245" s="95"/>
    </row>
    <row r="246" spans="1:11" ht="12.5" customHeight="1">
      <c r="A246" s="95"/>
      <c r="B246" s="77" t="s">
        <v>499</v>
      </c>
      <c r="C246" s="77" t="s">
        <v>65</v>
      </c>
      <c r="D246" s="77" t="s">
        <v>81</v>
      </c>
      <c r="E246" s="78" t="s">
        <v>533</v>
      </c>
      <c r="F246" s="77" t="s">
        <v>534</v>
      </c>
      <c r="G246" s="79">
        <v>46143</v>
      </c>
      <c r="H246" s="77" t="s">
        <v>16</v>
      </c>
      <c r="I246" s="77" t="s">
        <v>17</v>
      </c>
      <c r="J246" s="77" t="s">
        <v>535</v>
      </c>
      <c r="K246" s="97" t="s">
        <v>505</v>
      </c>
    </row>
    <row r="247" spans="1:11" ht="12.5" customHeight="1">
      <c r="A247" s="95"/>
      <c r="B247" s="77" t="s">
        <v>499</v>
      </c>
      <c r="C247" s="77" t="s">
        <v>85</v>
      </c>
      <c r="D247" s="77" t="s">
        <v>86</v>
      </c>
      <c r="E247" s="78" t="s">
        <v>536</v>
      </c>
      <c r="F247" s="77" t="s">
        <v>537</v>
      </c>
      <c r="G247" s="79">
        <v>46143</v>
      </c>
      <c r="H247" s="77" t="s">
        <v>16</v>
      </c>
      <c r="I247" s="77" t="s">
        <v>17</v>
      </c>
      <c r="J247" s="77" t="s">
        <v>538</v>
      </c>
      <c r="K247" s="95"/>
    </row>
    <row r="248" spans="1:11" ht="12.5" customHeight="1">
      <c r="A248" s="95"/>
      <c r="B248" s="77" t="s">
        <v>499</v>
      </c>
      <c r="C248" s="77" t="s">
        <v>65</v>
      </c>
      <c r="D248" s="77" t="s">
        <v>91</v>
      </c>
      <c r="E248" s="78" t="s">
        <v>539</v>
      </c>
      <c r="F248" s="77" t="s">
        <v>540</v>
      </c>
      <c r="G248" s="79">
        <v>46143</v>
      </c>
      <c r="H248" s="77" t="s">
        <v>16</v>
      </c>
      <c r="I248" s="77" t="s">
        <v>17</v>
      </c>
      <c r="J248" s="77" t="s">
        <v>541</v>
      </c>
      <c r="K248" s="97" t="s">
        <v>530</v>
      </c>
    </row>
    <row r="249" spans="1:11" ht="12.5" customHeight="1">
      <c r="A249" s="95"/>
      <c r="B249" s="77" t="s">
        <v>499</v>
      </c>
      <c r="C249" s="77" t="s">
        <v>65</v>
      </c>
      <c r="D249" s="77" t="s">
        <v>95</v>
      </c>
      <c r="E249" s="78" t="s">
        <v>96</v>
      </c>
      <c r="F249" s="77" t="s">
        <v>542</v>
      </c>
      <c r="G249" s="79">
        <v>46143</v>
      </c>
      <c r="H249" s="77" t="s">
        <v>16</v>
      </c>
      <c r="I249" s="77" t="s">
        <v>17</v>
      </c>
      <c r="J249" s="77" t="s">
        <v>543</v>
      </c>
      <c r="K249" s="95"/>
    </row>
    <row r="250" spans="1:11" ht="12.5" customHeight="1">
      <c r="A250" s="95"/>
      <c r="B250" s="77" t="s">
        <v>499</v>
      </c>
      <c r="C250" s="77" t="s">
        <v>65</v>
      </c>
      <c r="D250" s="77" t="s">
        <v>100</v>
      </c>
      <c r="E250" s="78" t="s">
        <v>26</v>
      </c>
      <c r="F250" s="77" t="s">
        <v>544</v>
      </c>
      <c r="G250" s="79">
        <v>46143</v>
      </c>
      <c r="H250" s="77" t="s">
        <v>16</v>
      </c>
      <c r="I250" s="77" t="s">
        <v>28</v>
      </c>
      <c r="J250" s="77" t="s">
        <v>102</v>
      </c>
      <c r="K250" s="97" t="s">
        <v>505</v>
      </c>
    </row>
    <row r="251" spans="1:11" ht="12.5" customHeight="1">
      <c r="A251" s="95"/>
      <c r="B251" s="77" t="s">
        <v>499</v>
      </c>
      <c r="C251" s="77" t="s">
        <v>85</v>
      </c>
      <c r="D251" s="77" t="s">
        <v>103</v>
      </c>
      <c r="E251" s="78" t="s">
        <v>545</v>
      </c>
      <c r="F251" s="77" t="s">
        <v>546</v>
      </c>
      <c r="G251" s="79">
        <v>46143</v>
      </c>
      <c r="H251" s="77" t="s">
        <v>16</v>
      </c>
      <c r="I251" s="77" t="s">
        <v>17</v>
      </c>
      <c r="J251" s="77" t="s">
        <v>547</v>
      </c>
      <c r="K251" s="95"/>
    </row>
    <row r="252" spans="1:11" ht="12.5" customHeight="1">
      <c r="A252" s="95"/>
      <c r="B252" s="77" t="s">
        <v>499</v>
      </c>
      <c r="C252" s="77" t="s">
        <v>85</v>
      </c>
      <c r="D252" s="77" t="s">
        <v>108</v>
      </c>
      <c r="E252" s="78" t="s">
        <v>548</v>
      </c>
      <c r="F252" s="77" t="s">
        <v>549</v>
      </c>
      <c r="G252" s="79">
        <v>46143</v>
      </c>
      <c r="H252" s="77" t="s">
        <v>16</v>
      </c>
      <c r="I252" s="77" t="s">
        <v>34</v>
      </c>
      <c r="J252" s="77" t="s">
        <v>550</v>
      </c>
      <c r="K252" s="95"/>
    </row>
    <row r="253" spans="1:11" ht="12.5" customHeight="1">
      <c r="A253" s="95"/>
      <c r="B253" s="77" t="s">
        <v>499</v>
      </c>
      <c r="C253" s="77" t="s">
        <v>112</v>
      </c>
      <c r="D253" s="77" t="s">
        <v>113</v>
      </c>
      <c r="E253" s="78" t="s">
        <v>26</v>
      </c>
      <c r="F253" s="77" t="s">
        <v>551</v>
      </c>
      <c r="G253" s="79">
        <v>46143</v>
      </c>
      <c r="H253" s="77" t="s">
        <v>16</v>
      </c>
      <c r="I253" s="77" t="s">
        <v>28</v>
      </c>
      <c r="J253" s="77" t="s">
        <v>552</v>
      </c>
      <c r="K253" s="95"/>
    </row>
    <row r="254" spans="1:11" ht="12.5" customHeight="1">
      <c r="A254" s="95"/>
      <c r="B254" s="77" t="s">
        <v>499</v>
      </c>
      <c r="C254" s="77" t="s">
        <v>112</v>
      </c>
      <c r="D254" s="77" t="s">
        <v>118</v>
      </c>
      <c r="E254" s="78" t="s">
        <v>1549</v>
      </c>
      <c r="F254" s="77" t="s">
        <v>553</v>
      </c>
      <c r="G254" s="79">
        <v>46143</v>
      </c>
      <c r="H254" s="77" t="s">
        <v>16</v>
      </c>
      <c r="I254" s="77" t="s">
        <v>28</v>
      </c>
      <c r="J254" s="77" t="s">
        <v>554</v>
      </c>
      <c r="K254" s="84" t="s">
        <v>501</v>
      </c>
    </row>
    <row r="255" spans="1:11" ht="12.5" customHeight="1">
      <c r="A255" s="94">
        <v>12</v>
      </c>
      <c r="B255" s="77" t="s">
        <v>555</v>
      </c>
      <c r="C255" s="77" t="s">
        <v>12</v>
      </c>
      <c r="D255" s="77" t="s">
        <v>13</v>
      </c>
      <c r="E255" s="78" t="s">
        <v>124</v>
      </c>
      <c r="F255" s="77" t="s">
        <v>556</v>
      </c>
      <c r="G255" s="79">
        <v>46143</v>
      </c>
      <c r="H255" s="77" t="s">
        <v>16</v>
      </c>
      <c r="I255" s="77" t="s">
        <v>17</v>
      </c>
      <c r="J255" s="77" t="s">
        <v>557</v>
      </c>
      <c r="K255" s="84" t="s">
        <v>558</v>
      </c>
    </row>
    <row r="256" spans="1:11" ht="12.5" customHeight="1">
      <c r="A256" s="95"/>
      <c r="B256" s="77" t="s">
        <v>555</v>
      </c>
      <c r="C256" s="77" t="s">
        <v>12</v>
      </c>
      <c r="D256" s="77" t="s">
        <v>20</v>
      </c>
      <c r="E256" s="78" t="s">
        <v>128</v>
      </c>
      <c r="F256" s="77" t="s">
        <v>559</v>
      </c>
      <c r="G256" s="79">
        <v>46143</v>
      </c>
      <c r="H256" s="77" t="s">
        <v>16</v>
      </c>
      <c r="I256" s="77" t="s">
        <v>17</v>
      </c>
      <c r="J256" s="77" t="s">
        <v>560</v>
      </c>
      <c r="K256" s="84" t="s">
        <v>558</v>
      </c>
    </row>
    <row r="257" spans="1:11" ht="12.5" customHeight="1">
      <c r="A257" s="95"/>
      <c r="B257" s="77" t="s">
        <v>555</v>
      </c>
      <c r="C257" s="77" t="s">
        <v>12</v>
      </c>
      <c r="D257" s="77" t="s">
        <v>25</v>
      </c>
      <c r="E257" s="78" t="s">
        <v>561</v>
      </c>
      <c r="F257" s="77" t="s">
        <v>562</v>
      </c>
      <c r="G257" s="79">
        <v>46143</v>
      </c>
      <c r="H257" s="77" t="s">
        <v>16</v>
      </c>
      <c r="I257" s="77" t="s">
        <v>17</v>
      </c>
      <c r="J257" s="77" t="s">
        <v>563</v>
      </c>
      <c r="K257" s="84" t="s">
        <v>558</v>
      </c>
    </row>
    <row r="258" spans="1:11" ht="12.5" customHeight="1">
      <c r="A258" s="95"/>
      <c r="B258" s="77" t="s">
        <v>555</v>
      </c>
      <c r="C258" s="77" t="s">
        <v>30</v>
      </c>
      <c r="D258" s="77" t="s">
        <v>31</v>
      </c>
      <c r="E258" s="78" t="s">
        <v>32</v>
      </c>
      <c r="F258" s="77" t="s">
        <v>564</v>
      </c>
      <c r="G258" s="79">
        <v>46143</v>
      </c>
      <c r="H258" s="77" t="s">
        <v>16</v>
      </c>
      <c r="I258" s="77" t="s">
        <v>17</v>
      </c>
      <c r="J258" s="77" t="s">
        <v>565</v>
      </c>
      <c r="K258" s="84" t="s">
        <v>558</v>
      </c>
    </row>
    <row r="259" spans="1:11" ht="12.5" customHeight="1">
      <c r="A259" s="95"/>
      <c r="B259" s="77" t="s">
        <v>555</v>
      </c>
      <c r="C259" s="77" t="s">
        <v>30</v>
      </c>
      <c r="D259" s="77" t="s">
        <v>36</v>
      </c>
      <c r="E259" s="78" t="s">
        <v>322</v>
      </c>
      <c r="F259" s="77" t="s">
        <v>662</v>
      </c>
      <c r="G259" s="79" t="s">
        <v>138</v>
      </c>
      <c r="H259" s="77" t="s">
        <v>139</v>
      </c>
      <c r="I259" s="77" t="s">
        <v>17</v>
      </c>
      <c r="J259" s="77" t="s">
        <v>661</v>
      </c>
      <c r="K259" s="84" t="s">
        <v>566</v>
      </c>
    </row>
    <row r="260" spans="1:11" ht="12.5" customHeight="1">
      <c r="A260" s="95"/>
      <c r="B260" s="77" t="s">
        <v>555</v>
      </c>
      <c r="C260" s="77" t="s">
        <v>30</v>
      </c>
      <c r="D260" s="77" t="s">
        <v>40</v>
      </c>
      <c r="E260" s="78" t="s">
        <v>26</v>
      </c>
      <c r="F260" s="77" t="s">
        <v>567</v>
      </c>
      <c r="G260" s="79">
        <v>46143</v>
      </c>
      <c r="H260" s="77" t="s">
        <v>16</v>
      </c>
      <c r="I260" s="77" t="s">
        <v>28</v>
      </c>
      <c r="J260" s="77" t="s">
        <v>42</v>
      </c>
      <c r="K260" s="84" t="s">
        <v>568</v>
      </c>
    </row>
    <row r="261" spans="1:11" ht="12.5" customHeight="1">
      <c r="A261" s="95"/>
      <c r="B261" s="77" t="s">
        <v>555</v>
      </c>
      <c r="C261" s="77" t="s">
        <v>30</v>
      </c>
      <c r="D261" s="77" t="s">
        <v>43</v>
      </c>
      <c r="E261" s="78" t="s">
        <v>44</v>
      </c>
      <c r="F261" s="77" t="s">
        <v>569</v>
      </c>
      <c r="G261" s="79">
        <v>46143</v>
      </c>
      <c r="H261" s="77" t="s">
        <v>16</v>
      </c>
      <c r="I261" s="77" t="s">
        <v>17</v>
      </c>
      <c r="J261" s="77" t="s">
        <v>570</v>
      </c>
      <c r="K261" s="84" t="s">
        <v>571</v>
      </c>
    </row>
    <row r="262" spans="1:11" ht="12.5" customHeight="1">
      <c r="A262" s="95"/>
      <c r="B262" s="77" t="s">
        <v>555</v>
      </c>
      <c r="C262" s="77" t="s">
        <v>30</v>
      </c>
      <c r="D262" s="77" t="s">
        <v>47</v>
      </c>
      <c r="E262" s="78" t="s">
        <v>206</v>
      </c>
      <c r="F262" s="77" t="s">
        <v>572</v>
      </c>
      <c r="G262" s="79">
        <v>46143</v>
      </c>
      <c r="H262" s="77" t="s">
        <v>16</v>
      </c>
      <c r="I262" s="77" t="s">
        <v>17</v>
      </c>
      <c r="J262" s="77" t="s">
        <v>573</v>
      </c>
      <c r="K262" s="84" t="s">
        <v>568</v>
      </c>
    </row>
    <row r="263" spans="1:11" ht="12.5" customHeight="1">
      <c r="A263" s="95"/>
      <c r="B263" s="77" t="s">
        <v>555</v>
      </c>
      <c r="C263" s="77" t="s">
        <v>30</v>
      </c>
      <c r="D263" s="77" t="s">
        <v>52</v>
      </c>
      <c r="E263" s="78" t="s">
        <v>53</v>
      </c>
      <c r="F263" s="77" t="s">
        <v>574</v>
      </c>
      <c r="G263" s="79">
        <v>46143</v>
      </c>
      <c r="H263" s="77" t="s">
        <v>16</v>
      </c>
      <c r="I263" s="77" t="s">
        <v>17</v>
      </c>
      <c r="J263" s="77" t="s">
        <v>575</v>
      </c>
      <c r="K263" s="84" t="s">
        <v>568</v>
      </c>
    </row>
    <row r="264" spans="1:11" ht="12.5" customHeight="1">
      <c r="A264" s="95"/>
      <c r="B264" s="77" t="s">
        <v>555</v>
      </c>
      <c r="C264" s="77" t="s">
        <v>30</v>
      </c>
      <c r="D264" s="77" t="s">
        <v>56</v>
      </c>
      <c r="E264" s="78" t="s">
        <v>576</v>
      </c>
      <c r="F264" s="77" t="s">
        <v>577</v>
      </c>
      <c r="G264" s="79">
        <v>46143</v>
      </c>
      <c r="H264" s="77" t="s">
        <v>16</v>
      </c>
      <c r="I264" s="77" t="s">
        <v>17</v>
      </c>
      <c r="J264" s="77" t="s">
        <v>578</v>
      </c>
      <c r="K264" s="84" t="s">
        <v>558</v>
      </c>
    </row>
    <row r="265" spans="1:11" ht="12.5" customHeight="1">
      <c r="A265" s="95"/>
      <c r="B265" s="77" t="s">
        <v>555</v>
      </c>
      <c r="C265" s="77" t="s">
        <v>30</v>
      </c>
      <c r="D265" s="77" t="s">
        <v>61</v>
      </c>
      <c r="E265" s="78" t="s">
        <v>26</v>
      </c>
      <c r="F265" s="77" t="s">
        <v>579</v>
      </c>
      <c r="G265" s="79">
        <v>46143</v>
      </c>
      <c r="H265" s="77" t="s">
        <v>16</v>
      </c>
      <c r="I265" s="77" t="s">
        <v>28</v>
      </c>
      <c r="J265" s="77" t="s">
        <v>464</v>
      </c>
      <c r="K265" s="84" t="s">
        <v>568</v>
      </c>
    </row>
    <row r="266" spans="1:11" ht="12.5" customHeight="1">
      <c r="A266" s="95"/>
      <c r="B266" s="77" t="s">
        <v>555</v>
      </c>
      <c r="C266" s="77" t="s">
        <v>65</v>
      </c>
      <c r="D266" s="77" t="s">
        <v>66</v>
      </c>
      <c r="E266" s="78" t="s">
        <v>78</v>
      </c>
      <c r="F266" s="84" t="s">
        <v>580</v>
      </c>
      <c r="G266" s="79">
        <v>46143</v>
      </c>
      <c r="H266" s="77" t="s">
        <v>254</v>
      </c>
      <c r="I266" s="77" t="s">
        <v>17</v>
      </c>
      <c r="J266" s="84" t="s">
        <v>580</v>
      </c>
      <c r="K266" s="84" t="s">
        <v>581</v>
      </c>
    </row>
    <row r="267" spans="1:11" ht="12.5" customHeight="1">
      <c r="A267" s="95"/>
      <c r="B267" s="77" t="s">
        <v>555</v>
      </c>
      <c r="C267" s="77" t="s">
        <v>65</v>
      </c>
      <c r="D267" s="77" t="s">
        <v>72</v>
      </c>
      <c r="E267" s="78" t="s">
        <v>582</v>
      </c>
      <c r="F267" s="77" t="s">
        <v>583</v>
      </c>
      <c r="G267" s="79">
        <v>46143</v>
      </c>
      <c r="H267" s="77" t="s">
        <v>16</v>
      </c>
      <c r="I267" s="77" t="s">
        <v>17</v>
      </c>
      <c r="J267" s="77" t="s">
        <v>584</v>
      </c>
      <c r="K267" s="84" t="s">
        <v>568</v>
      </c>
    </row>
    <row r="268" spans="1:11" ht="12.5" customHeight="1">
      <c r="A268" s="95"/>
      <c r="B268" s="77" t="s">
        <v>555</v>
      </c>
      <c r="C268" s="77" t="s">
        <v>65</v>
      </c>
      <c r="D268" s="77" t="s">
        <v>77</v>
      </c>
      <c r="E268" s="78" t="s">
        <v>26</v>
      </c>
      <c r="F268" s="77" t="s">
        <v>585</v>
      </c>
      <c r="G268" s="79">
        <v>46143</v>
      </c>
      <c r="H268" s="77" t="s">
        <v>16</v>
      </c>
      <c r="I268" s="77" t="s">
        <v>28</v>
      </c>
      <c r="J268" s="77" t="s">
        <v>470</v>
      </c>
      <c r="K268" s="84" t="s">
        <v>568</v>
      </c>
    </row>
    <row r="269" spans="1:11" ht="12.5" customHeight="1">
      <c r="A269" s="95"/>
      <c r="B269" s="77" t="s">
        <v>555</v>
      </c>
      <c r="C269" s="77" t="s">
        <v>65</v>
      </c>
      <c r="D269" s="77" t="s">
        <v>81</v>
      </c>
      <c r="E269" s="78" t="s">
        <v>82</v>
      </c>
      <c r="F269" s="77" t="s">
        <v>586</v>
      </c>
      <c r="G269" s="79">
        <v>46143</v>
      </c>
      <c r="H269" s="77" t="s">
        <v>16</v>
      </c>
      <c r="I269" s="77" t="s">
        <v>17</v>
      </c>
      <c r="J269" s="77" t="s">
        <v>587</v>
      </c>
      <c r="K269" s="84" t="s">
        <v>568</v>
      </c>
    </row>
    <row r="270" spans="1:11" ht="12.5" customHeight="1">
      <c r="A270" s="95"/>
      <c r="B270" s="77" t="s">
        <v>555</v>
      </c>
      <c r="C270" s="77" t="s">
        <v>85</v>
      </c>
      <c r="D270" s="77" t="s">
        <v>86</v>
      </c>
      <c r="E270" s="78" t="s">
        <v>588</v>
      </c>
      <c r="F270" s="77" t="s">
        <v>589</v>
      </c>
      <c r="G270" s="79">
        <v>46143</v>
      </c>
      <c r="H270" s="77" t="s">
        <v>16</v>
      </c>
      <c r="I270" s="77" t="s">
        <v>17</v>
      </c>
      <c r="J270" s="77" t="s">
        <v>588</v>
      </c>
      <c r="K270" s="84" t="s">
        <v>571</v>
      </c>
    </row>
    <row r="271" spans="1:11" ht="12.5" customHeight="1">
      <c r="A271" s="95"/>
      <c r="B271" s="77" t="s">
        <v>555</v>
      </c>
      <c r="C271" s="77" t="s">
        <v>65</v>
      </c>
      <c r="D271" s="77" t="s">
        <v>91</v>
      </c>
      <c r="E271" s="78" t="s">
        <v>92</v>
      </c>
      <c r="F271" s="77" t="s">
        <v>590</v>
      </c>
      <c r="G271" s="79">
        <v>46143</v>
      </c>
      <c r="H271" s="77" t="s">
        <v>16</v>
      </c>
      <c r="I271" s="77" t="s">
        <v>17</v>
      </c>
      <c r="J271" s="77" t="s">
        <v>591</v>
      </c>
      <c r="K271" s="84" t="s">
        <v>568</v>
      </c>
    </row>
    <row r="272" spans="1:11" ht="12.5" customHeight="1">
      <c r="A272" s="95"/>
      <c r="B272" s="77" t="s">
        <v>555</v>
      </c>
      <c r="C272" s="77" t="s">
        <v>65</v>
      </c>
      <c r="D272" s="77" t="s">
        <v>95</v>
      </c>
      <c r="E272" s="78" t="s">
        <v>592</v>
      </c>
      <c r="F272" s="77" t="s">
        <v>593</v>
      </c>
      <c r="G272" s="79">
        <v>46143</v>
      </c>
      <c r="H272" s="77" t="s">
        <v>16</v>
      </c>
      <c r="I272" s="77" t="s">
        <v>17</v>
      </c>
      <c r="J272" s="77" t="s">
        <v>594</v>
      </c>
      <c r="K272" s="84" t="s">
        <v>568</v>
      </c>
    </row>
    <row r="273" spans="1:11" ht="12.5" customHeight="1">
      <c r="A273" s="95"/>
      <c r="B273" s="77" t="s">
        <v>555</v>
      </c>
      <c r="C273" s="77" t="s">
        <v>65</v>
      </c>
      <c r="D273" s="77" t="s">
        <v>100</v>
      </c>
      <c r="E273" s="78" t="s">
        <v>26</v>
      </c>
      <c r="F273" s="77" t="s">
        <v>544</v>
      </c>
      <c r="G273" s="79">
        <v>46143</v>
      </c>
      <c r="H273" s="77" t="s">
        <v>16</v>
      </c>
      <c r="I273" s="77" t="s">
        <v>28</v>
      </c>
      <c r="J273" s="77" t="s">
        <v>595</v>
      </c>
      <c r="K273" s="84" t="s">
        <v>568</v>
      </c>
    </row>
    <row r="274" spans="1:11" ht="12.5" customHeight="1">
      <c r="A274" s="95"/>
      <c r="B274" s="77" t="s">
        <v>555</v>
      </c>
      <c r="C274" s="77" t="s">
        <v>85</v>
      </c>
      <c r="D274" s="77" t="s">
        <v>103</v>
      </c>
      <c r="E274" s="78" t="s">
        <v>596</v>
      </c>
      <c r="F274" s="77" t="s">
        <v>597</v>
      </c>
      <c r="G274" s="79">
        <v>46143</v>
      </c>
      <c r="H274" s="77" t="s">
        <v>254</v>
      </c>
      <c r="I274" s="77" t="s">
        <v>34</v>
      </c>
      <c r="J274" s="77" t="s">
        <v>597</v>
      </c>
      <c r="K274" s="84" t="s">
        <v>598</v>
      </c>
    </row>
    <row r="275" spans="1:11" ht="12.5" customHeight="1">
      <c r="A275" s="95"/>
      <c r="B275" s="77" t="s">
        <v>555</v>
      </c>
      <c r="C275" s="77" t="s">
        <v>85</v>
      </c>
      <c r="D275" s="77" t="s">
        <v>108</v>
      </c>
      <c r="E275" s="78" t="s">
        <v>599</v>
      </c>
      <c r="F275" s="77" t="s">
        <v>600</v>
      </c>
      <c r="G275" s="79">
        <v>46143</v>
      </c>
      <c r="H275" s="77" t="s">
        <v>16</v>
      </c>
      <c r="I275" s="77" t="s">
        <v>17</v>
      </c>
      <c r="J275" s="77" t="s">
        <v>601</v>
      </c>
      <c r="K275" s="84" t="s">
        <v>568</v>
      </c>
    </row>
    <row r="276" spans="1:11" ht="12.5" customHeight="1">
      <c r="A276" s="95"/>
      <c r="B276" s="77" t="s">
        <v>555</v>
      </c>
      <c r="C276" s="77" t="s">
        <v>112</v>
      </c>
      <c r="D276" s="77" t="s">
        <v>113</v>
      </c>
      <c r="E276" s="78" t="s">
        <v>431</v>
      </c>
      <c r="F276" s="77" t="s">
        <v>602</v>
      </c>
      <c r="G276" s="79">
        <v>46143</v>
      </c>
      <c r="H276" s="77" t="s">
        <v>16</v>
      </c>
      <c r="I276" s="77" t="s">
        <v>17</v>
      </c>
      <c r="J276" s="77" t="s">
        <v>603</v>
      </c>
      <c r="K276" s="84" t="s">
        <v>568</v>
      </c>
    </row>
    <row r="277" spans="1:11" ht="12.5" customHeight="1">
      <c r="A277" s="95"/>
      <c r="B277" s="77" t="s">
        <v>555</v>
      </c>
      <c r="C277" s="77" t="s">
        <v>112</v>
      </c>
      <c r="D277" s="77" t="s">
        <v>118</v>
      </c>
      <c r="E277" s="78" t="s">
        <v>243</v>
      </c>
      <c r="F277" s="77" t="s">
        <v>604</v>
      </c>
      <c r="G277" s="79">
        <v>46143</v>
      </c>
      <c r="H277" s="77" t="s">
        <v>16</v>
      </c>
      <c r="I277" s="77" t="s">
        <v>17</v>
      </c>
      <c r="J277" s="77" t="s">
        <v>605</v>
      </c>
      <c r="K277" s="84" t="s">
        <v>568</v>
      </c>
    </row>
    <row r="278" spans="1:11" ht="12.5" customHeight="1">
      <c r="A278" s="94">
        <v>13</v>
      </c>
      <c r="B278" s="77" t="s">
        <v>606</v>
      </c>
      <c r="C278" s="77" t="s">
        <v>12</v>
      </c>
      <c r="D278" s="77" t="s">
        <v>13</v>
      </c>
      <c r="E278" s="78" t="s">
        <v>124</v>
      </c>
      <c r="F278" s="77" t="s">
        <v>607</v>
      </c>
      <c r="G278" s="79">
        <v>46143</v>
      </c>
      <c r="H278" s="77" t="s">
        <v>16</v>
      </c>
      <c r="I278" s="77" t="s">
        <v>17</v>
      </c>
      <c r="J278" s="77" t="s">
        <v>608</v>
      </c>
      <c r="K278" s="84" t="s">
        <v>609</v>
      </c>
    </row>
    <row r="279" spans="1:11" ht="12.5" customHeight="1">
      <c r="A279" s="95"/>
      <c r="B279" s="77" t="s">
        <v>606</v>
      </c>
      <c r="C279" s="77" t="s">
        <v>12</v>
      </c>
      <c r="D279" s="77" t="s">
        <v>20</v>
      </c>
      <c r="E279" s="78" t="s">
        <v>128</v>
      </c>
      <c r="F279" s="77" t="s">
        <v>610</v>
      </c>
      <c r="G279" s="79">
        <v>46143</v>
      </c>
      <c r="H279" s="77" t="s">
        <v>16</v>
      </c>
      <c r="I279" s="77" t="s">
        <v>17</v>
      </c>
      <c r="J279" s="77" t="s">
        <v>611</v>
      </c>
      <c r="K279" s="84" t="s">
        <v>612</v>
      </c>
    </row>
    <row r="280" spans="1:11" ht="12.5" customHeight="1">
      <c r="A280" s="95"/>
      <c r="B280" s="77" t="s">
        <v>606</v>
      </c>
      <c r="C280" s="77" t="s">
        <v>12</v>
      </c>
      <c r="D280" s="77" t="s">
        <v>25</v>
      </c>
      <c r="E280" s="78" t="s">
        <v>26</v>
      </c>
      <c r="F280" s="77" t="s">
        <v>613</v>
      </c>
      <c r="G280" s="79">
        <v>46143</v>
      </c>
      <c r="H280" s="77" t="s">
        <v>16</v>
      </c>
      <c r="I280" s="77" t="s">
        <v>28</v>
      </c>
      <c r="J280" s="77" t="s">
        <v>29</v>
      </c>
      <c r="K280" s="84" t="s">
        <v>612</v>
      </c>
    </row>
    <row r="281" spans="1:11" ht="12.5" customHeight="1">
      <c r="A281" s="95"/>
      <c r="B281" s="77" t="s">
        <v>606</v>
      </c>
      <c r="C281" s="77" t="s">
        <v>30</v>
      </c>
      <c r="D281" s="77" t="s">
        <v>31</v>
      </c>
      <c r="E281" s="78" t="s">
        <v>32</v>
      </c>
      <c r="F281" s="77" t="s">
        <v>614</v>
      </c>
      <c r="G281" s="79">
        <v>46143</v>
      </c>
      <c r="H281" s="77" t="s">
        <v>16</v>
      </c>
      <c r="I281" s="77" t="s">
        <v>17</v>
      </c>
      <c r="J281" s="77" t="s">
        <v>615</v>
      </c>
      <c r="K281" s="84" t="s">
        <v>616</v>
      </c>
    </row>
    <row r="282" spans="1:11" ht="12.5" customHeight="1">
      <c r="A282" s="95"/>
      <c r="B282" s="77" t="s">
        <v>606</v>
      </c>
      <c r="C282" s="77" t="s">
        <v>30</v>
      </c>
      <c r="D282" s="77" t="s">
        <v>36</v>
      </c>
      <c r="E282" s="78" t="s">
        <v>135</v>
      </c>
      <c r="F282" s="77" t="s">
        <v>617</v>
      </c>
      <c r="G282" s="79">
        <v>46143</v>
      </c>
      <c r="H282" s="77" t="s">
        <v>16</v>
      </c>
      <c r="I282" s="77" t="s">
        <v>17</v>
      </c>
      <c r="J282" s="77" t="s">
        <v>618</v>
      </c>
      <c r="K282" s="84" t="s">
        <v>612</v>
      </c>
    </row>
    <row r="283" spans="1:11" ht="12.5" customHeight="1">
      <c r="A283" s="95"/>
      <c r="B283" s="77" t="s">
        <v>606</v>
      </c>
      <c r="C283" s="77" t="s">
        <v>30</v>
      </c>
      <c r="D283" s="77" t="s">
        <v>40</v>
      </c>
      <c r="E283" s="78" t="s">
        <v>26</v>
      </c>
      <c r="F283" s="77" t="s">
        <v>619</v>
      </c>
      <c r="G283" s="79">
        <v>46143</v>
      </c>
      <c r="H283" s="77" t="s">
        <v>16</v>
      </c>
      <c r="I283" s="77" t="s">
        <v>28</v>
      </c>
      <c r="J283" s="77" t="s">
        <v>42</v>
      </c>
      <c r="K283" s="84" t="s">
        <v>612</v>
      </c>
    </row>
    <row r="284" spans="1:11" ht="12.5" customHeight="1">
      <c r="A284" s="95"/>
      <c r="B284" s="77" t="s">
        <v>606</v>
      </c>
      <c r="C284" s="77" t="s">
        <v>30</v>
      </c>
      <c r="D284" s="77" t="s">
        <v>43</v>
      </c>
      <c r="E284" s="78" t="s">
        <v>44</v>
      </c>
      <c r="F284" s="77" t="s">
        <v>620</v>
      </c>
      <c r="G284" s="79">
        <v>46143</v>
      </c>
      <c r="H284" s="77" t="s">
        <v>16</v>
      </c>
      <c r="I284" s="77" t="s">
        <v>34</v>
      </c>
      <c r="J284" s="77" t="s">
        <v>621</v>
      </c>
      <c r="K284" s="84" t="s">
        <v>609</v>
      </c>
    </row>
    <row r="285" spans="1:11" ht="12.5" customHeight="1">
      <c r="A285" s="95"/>
      <c r="B285" s="77" t="s">
        <v>606</v>
      </c>
      <c r="C285" s="77" t="s">
        <v>30</v>
      </c>
      <c r="D285" s="77" t="s">
        <v>47</v>
      </c>
      <c r="E285" s="78" t="s">
        <v>48</v>
      </c>
      <c r="F285" s="77" t="s">
        <v>622</v>
      </c>
      <c r="G285" s="79">
        <v>46143</v>
      </c>
      <c r="H285" s="77" t="s">
        <v>16</v>
      </c>
      <c r="I285" s="77" t="s">
        <v>17</v>
      </c>
      <c r="J285" s="77" t="s">
        <v>623</v>
      </c>
      <c r="K285" s="84" t="s">
        <v>624</v>
      </c>
    </row>
    <row r="286" spans="1:11" ht="12.5" customHeight="1">
      <c r="A286" s="95"/>
      <c r="B286" s="77" t="s">
        <v>606</v>
      </c>
      <c r="C286" s="77" t="s">
        <v>30</v>
      </c>
      <c r="D286" s="77" t="s">
        <v>52</v>
      </c>
      <c r="E286" s="78" t="s">
        <v>625</v>
      </c>
      <c r="F286" s="77" t="s">
        <v>625</v>
      </c>
      <c r="G286" s="79">
        <v>46143</v>
      </c>
      <c r="H286" s="77" t="s">
        <v>16</v>
      </c>
      <c r="I286" s="77" t="s">
        <v>17</v>
      </c>
      <c r="J286" s="77" t="s">
        <v>626</v>
      </c>
      <c r="K286" s="84" t="s">
        <v>624</v>
      </c>
    </row>
    <row r="287" spans="1:11" ht="12.5" customHeight="1">
      <c r="A287" s="95"/>
      <c r="B287" s="77" t="s">
        <v>606</v>
      </c>
      <c r="C287" s="77" t="s">
        <v>30</v>
      </c>
      <c r="D287" s="77" t="s">
        <v>56</v>
      </c>
      <c r="E287" s="78" t="s">
        <v>627</v>
      </c>
      <c r="F287" s="77" t="s">
        <v>628</v>
      </c>
      <c r="G287" s="79">
        <v>46143</v>
      </c>
      <c r="H287" s="77" t="s">
        <v>16</v>
      </c>
      <c r="I287" s="77" t="s">
        <v>17</v>
      </c>
      <c r="J287" s="77" t="s">
        <v>629</v>
      </c>
      <c r="K287" s="84" t="s">
        <v>612</v>
      </c>
    </row>
    <row r="288" spans="1:11" ht="12.5" customHeight="1">
      <c r="A288" s="95"/>
      <c r="B288" s="77" t="s">
        <v>606</v>
      </c>
      <c r="C288" s="77" t="s">
        <v>30</v>
      </c>
      <c r="D288" s="77" t="s">
        <v>61</v>
      </c>
      <c r="E288" s="78" t="s">
        <v>62</v>
      </c>
      <c r="F288" s="77" t="s">
        <v>630</v>
      </c>
      <c r="G288" s="79">
        <v>46143</v>
      </c>
      <c r="H288" s="77" t="s">
        <v>16</v>
      </c>
      <c r="I288" s="77" t="s">
        <v>17</v>
      </c>
      <c r="J288" s="77" t="s">
        <v>631</v>
      </c>
      <c r="K288" s="84" t="s">
        <v>154</v>
      </c>
    </row>
    <row r="289" spans="1:11" ht="12.5" customHeight="1">
      <c r="A289" s="95"/>
      <c r="B289" s="77" t="s">
        <v>606</v>
      </c>
      <c r="C289" s="77" t="s">
        <v>65</v>
      </c>
      <c r="D289" s="77" t="s">
        <v>66</v>
      </c>
      <c r="E289" s="78" t="s">
        <v>67</v>
      </c>
      <c r="F289" s="77" t="s">
        <v>632</v>
      </c>
      <c r="G289" s="79">
        <v>46143</v>
      </c>
      <c r="H289" s="77" t="s">
        <v>16</v>
      </c>
      <c r="I289" s="77" t="s">
        <v>17</v>
      </c>
      <c r="J289" s="77" t="s">
        <v>633</v>
      </c>
      <c r="K289" s="84" t="s">
        <v>609</v>
      </c>
    </row>
    <row r="290" spans="1:11" ht="12.5" customHeight="1">
      <c r="A290" s="95"/>
      <c r="B290" s="77" t="s">
        <v>606</v>
      </c>
      <c r="C290" s="77" t="s">
        <v>65</v>
      </c>
      <c r="D290" s="77" t="s">
        <v>72</v>
      </c>
      <c r="E290" s="78" t="s">
        <v>157</v>
      </c>
      <c r="F290" s="77" t="s">
        <v>634</v>
      </c>
      <c r="G290" s="79">
        <v>46143</v>
      </c>
      <c r="H290" s="77" t="s">
        <v>16</v>
      </c>
      <c r="I290" s="77" t="s">
        <v>17</v>
      </c>
      <c r="J290" s="77" t="s">
        <v>635</v>
      </c>
      <c r="K290" s="84" t="s">
        <v>636</v>
      </c>
    </row>
    <row r="291" spans="1:11" ht="12.5" customHeight="1">
      <c r="A291" s="95"/>
      <c r="B291" s="77" t="s">
        <v>606</v>
      </c>
      <c r="C291" s="77" t="s">
        <v>65</v>
      </c>
      <c r="D291" s="77" t="s">
        <v>77</v>
      </c>
      <c r="E291" s="78" t="s">
        <v>78</v>
      </c>
      <c r="F291" s="77" t="s">
        <v>637</v>
      </c>
      <c r="G291" s="79">
        <v>46143</v>
      </c>
      <c r="H291" s="77" t="s">
        <v>16</v>
      </c>
      <c r="I291" s="77" t="s">
        <v>17</v>
      </c>
      <c r="J291" s="77" t="s">
        <v>638</v>
      </c>
      <c r="K291" s="84" t="s">
        <v>154</v>
      </c>
    </row>
    <row r="292" spans="1:11" ht="12.5" customHeight="1">
      <c r="A292" s="95"/>
      <c r="B292" s="77" t="s">
        <v>606</v>
      </c>
      <c r="C292" s="77" t="s">
        <v>65</v>
      </c>
      <c r="D292" s="77" t="s">
        <v>81</v>
      </c>
      <c r="E292" s="78" t="s">
        <v>82</v>
      </c>
      <c r="F292" s="77" t="s">
        <v>639</v>
      </c>
      <c r="G292" s="79">
        <v>46143</v>
      </c>
      <c r="H292" s="77" t="s">
        <v>16</v>
      </c>
      <c r="I292" s="77" t="s">
        <v>17</v>
      </c>
      <c r="J292" s="77" t="s">
        <v>640</v>
      </c>
      <c r="K292" s="84" t="s">
        <v>154</v>
      </c>
    </row>
    <row r="293" spans="1:11" ht="12.5" customHeight="1">
      <c r="A293" s="95"/>
      <c r="B293" s="77" t="s">
        <v>606</v>
      </c>
      <c r="C293" s="77" t="s">
        <v>85</v>
      </c>
      <c r="D293" s="77" t="s">
        <v>86</v>
      </c>
      <c r="E293" s="78" t="s">
        <v>165</v>
      </c>
      <c r="F293" s="77" t="s">
        <v>641</v>
      </c>
      <c r="G293" s="79">
        <v>46143</v>
      </c>
      <c r="H293" s="77" t="s">
        <v>16</v>
      </c>
      <c r="I293" s="77" t="s">
        <v>17</v>
      </c>
      <c r="J293" s="77" t="s">
        <v>642</v>
      </c>
      <c r="K293" s="84" t="s">
        <v>643</v>
      </c>
    </row>
    <row r="294" spans="1:11" ht="12.5" customHeight="1">
      <c r="A294" s="95"/>
      <c r="B294" s="77" t="s">
        <v>606</v>
      </c>
      <c r="C294" s="77" t="s">
        <v>65</v>
      </c>
      <c r="D294" s="77" t="s">
        <v>91</v>
      </c>
      <c r="E294" s="78" t="s">
        <v>644</v>
      </c>
      <c r="F294" s="77" t="s">
        <v>644</v>
      </c>
      <c r="G294" s="79">
        <v>46143</v>
      </c>
      <c r="H294" s="77" t="s">
        <v>16</v>
      </c>
      <c r="I294" s="77" t="s">
        <v>17</v>
      </c>
      <c r="J294" s="77" t="s">
        <v>645</v>
      </c>
      <c r="K294" s="84" t="s">
        <v>624</v>
      </c>
    </row>
    <row r="295" spans="1:11" ht="12.5" customHeight="1">
      <c r="A295" s="95"/>
      <c r="B295" s="77" t="s">
        <v>606</v>
      </c>
      <c r="C295" s="77" t="s">
        <v>65</v>
      </c>
      <c r="D295" s="77" t="s">
        <v>95</v>
      </c>
      <c r="E295" s="78" t="s">
        <v>96</v>
      </c>
      <c r="F295" s="77" t="s">
        <v>646</v>
      </c>
      <c r="G295" s="79">
        <v>46143</v>
      </c>
      <c r="H295" s="77" t="s">
        <v>16</v>
      </c>
      <c r="I295" s="77" t="s">
        <v>17</v>
      </c>
      <c r="J295" s="77" t="s">
        <v>647</v>
      </c>
      <c r="K295" s="84" t="s">
        <v>624</v>
      </c>
    </row>
    <row r="296" spans="1:11" ht="12.5" customHeight="1">
      <c r="A296" s="95"/>
      <c r="B296" s="77" t="s">
        <v>606</v>
      </c>
      <c r="C296" s="77" t="s">
        <v>65</v>
      </c>
      <c r="D296" s="77" t="s">
        <v>100</v>
      </c>
      <c r="E296" s="78" t="s">
        <v>26</v>
      </c>
      <c r="F296" s="77" t="s">
        <v>648</v>
      </c>
      <c r="G296" s="79">
        <v>46143</v>
      </c>
      <c r="H296" s="77" t="s">
        <v>16</v>
      </c>
      <c r="I296" s="77" t="s">
        <v>28</v>
      </c>
      <c r="J296" s="77" t="s">
        <v>649</v>
      </c>
      <c r="K296" s="84" t="s">
        <v>636</v>
      </c>
    </row>
    <row r="297" spans="1:11" ht="12.5" customHeight="1">
      <c r="A297" s="95"/>
      <c r="B297" s="77" t="s">
        <v>606</v>
      </c>
      <c r="C297" s="77" t="s">
        <v>85</v>
      </c>
      <c r="D297" s="77" t="s">
        <v>103</v>
      </c>
      <c r="E297" s="78" t="s">
        <v>650</v>
      </c>
      <c r="F297" s="77" t="s">
        <v>651</v>
      </c>
      <c r="G297" s="79">
        <v>46143</v>
      </c>
      <c r="H297" s="77" t="s">
        <v>16</v>
      </c>
      <c r="I297" s="77" t="s">
        <v>17</v>
      </c>
      <c r="J297" s="77" t="s">
        <v>652</v>
      </c>
      <c r="K297" s="84" t="s">
        <v>609</v>
      </c>
    </row>
    <row r="298" spans="1:11" ht="12.5" customHeight="1">
      <c r="A298" s="95"/>
      <c r="B298" s="77" t="s">
        <v>606</v>
      </c>
      <c r="C298" s="77" t="s">
        <v>85</v>
      </c>
      <c r="D298" s="77" t="s">
        <v>108</v>
      </c>
      <c r="E298" s="78" t="s">
        <v>177</v>
      </c>
      <c r="F298" s="77" t="s">
        <v>653</v>
      </c>
      <c r="G298" s="79">
        <v>46143</v>
      </c>
      <c r="H298" s="77" t="s">
        <v>16</v>
      </c>
      <c r="I298" s="77" t="s">
        <v>17</v>
      </c>
      <c r="J298" s="77" t="s">
        <v>654</v>
      </c>
      <c r="K298" s="84" t="s">
        <v>154</v>
      </c>
    </row>
    <row r="299" spans="1:11" ht="12.5" customHeight="1">
      <c r="A299" s="95"/>
      <c r="B299" s="77" t="s">
        <v>606</v>
      </c>
      <c r="C299" s="77" t="s">
        <v>112</v>
      </c>
      <c r="D299" s="77" t="s">
        <v>113</v>
      </c>
      <c r="E299" s="78" t="s">
        <v>655</v>
      </c>
      <c r="F299" s="77" t="s">
        <v>656</v>
      </c>
      <c r="G299" s="79">
        <v>46143</v>
      </c>
      <c r="H299" s="77" t="s">
        <v>16</v>
      </c>
      <c r="I299" s="77" t="s">
        <v>17</v>
      </c>
      <c r="J299" s="77" t="s">
        <v>656</v>
      </c>
      <c r="K299" s="84" t="s">
        <v>624</v>
      </c>
    </row>
    <row r="300" spans="1:11" ht="12.5" customHeight="1">
      <c r="A300" s="95"/>
      <c r="B300" s="77" t="s">
        <v>606</v>
      </c>
      <c r="C300" s="77" t="s">
        <v>112</v>
      </c>
      <c r="D300" s="77" t="s">
        <v>118</v>
      </c>
      <c r="E300" s="78" t="s">
        <v>183</v>
      </c>
      <c r="F300" s="77" t="s">
        <v>657</v>
      </c>
      <c r="G300" s="79">
        <v>46143</v>
      </c>
      <c r="H300" s="77" t="s">
        <v>16</v>
      </c>
      <c r="I300" s="77" t="s">
        <v>17</v>
      </c>
      <c r="J300" s="77" t="s">
        <v>658</v>
      </c>
      <c r="K300" s="84" t="s">
        <v>643</v>
      </c>
    </row>
    <row r="301" spans="1:11" ht="12.5" customHeight="1">
      <c r="A301" s="93">
        <v>14</v>
      </c>
      <c r="B301" t="s">
        <v>663</v>
      </c>
      <c r="C301" t="s">
        <v>12</v>
      </c>
      <c r="D301" t="s">
        <v>13</v>
      </c>
      <c r="E301" s="78" t="s">
        <v>124</v>
      </c>
      <c r="F301" t="s">
        <v>664</v>
      </c>
      <c r="G301" s="25">
        <v>46145</v>
      </c>
      <c r="H301" t="s">
        <v>16</v>
      </c>
      <c r="I301" t="s">
        <v>17</v>
      </c>
      <c r="J301" t="s">
        <v>665</v>
      </c>
      <c r="K301" s="85" t="s">
        <v>666</v>
      </c>
    </row>
    <row r="302" spans="1:11" ht="12.5" customHeight="1">
      <c r="A302" s="95"/>
      <c r="B302" t="s">
        <v>663</v>
      </c>
      <c r="C302" t="s">
        <v>12</v>
      </c>
      <c r="D302" t="s">
        <v>20</v>
      </c>
      <c r="E302" s="78" t="s">
        <v>667</v>
      </c>
      <c r="F302" t="s">
        <v>668</v>
      </c>
      <c r="G302" s="25">
        <v>46145</v>
      </c>
      <c r="H302" t="s">
        <v>16</v>
      </c>
      <c r="I302" t="s">
        <v>17</v>
      </c>
      <c r="J302" t="s">
        <v>669</v>
      </c>
      <c r="K302" s="86" t="s">
        <v>666</v>
      </c>
    </row>
    <row r="303" spans="1:11" ht="12.5" customHeight="1">
      <c r="A303" s="95"/>
      <c r="B303" t="s">
        <v>663</v>
      </c>
      <c r="C303" t="s">
        <v>12</v>
      </c>
      <c r="D303" t="s">
        <v>25</v>
      </c>
      <c r="E303" s="78" t="s">
        <v>26</v>
      </c>
      <c r="F303" t="s">
        <v>918</v>
      </c>
      <c r="G303" s="25" t="s">
        <v>138</v>
      </c>
      <c r="H303" t="s">
        <v>189</v>
      </c>
      <c r="I303" t="s">
        <v>34</v>
      </c>
      <c r="J303" t="s">
        <v>670</v>
      </c>
      <c r="K303" s="85" t="s">
        <v>671</v>
      </c>
    </row>
    <row r="304" spans="1:11" ht="12.5" customHeight="1">
      <c r="A304" s="95"/>
      <c r="B304" t="s">
        <v>663</v>
      </c>
      <c r="C304" t="s">
        <v>30</v>
      </c>
      <c r="D304" t="s">
        <v>31</v>
      </c>
      <c r="E304" s="78" t="s">
        <v>672</v>
      </c>
      <c r="F304" t="s">
        <v>919</v>
      </c>
      <c r="G304" s="25" t="s">
        <v>138</v>
      </c>
      <c r="H304" t="s">
        <v>189</v>
      </c>
      <c r="I304" t="s">
        <v>17</v>
      </c>
      <c r="J304" t="s">
        <v>673</v>
      </c>
      <c r="K304" s="86" t="s">
        <v>671</v>
      </c>
    </row>
    <row r="305" spans="1:11" ht="12.5" customHeight="1">
      <c r="A305" s="95"/>
      <c r="B305" t="s">
        <v>663</v>
      </c>
      <c r="C305" t="s">
        <v>30</v>
      </c>
      <c r="D305" t="s">
        <v>36</v>
      </c>
      <c r="E305" s="78" t="s">
        <v>322</v>
      </c>
      <c r="F305" t="s">
        <v>674</v>
      </c>
      <c r="G305" s="25">
        <v>46145</v>
      </c>
      <c r="H305" t="s">
        <v>254</v>
      </c>
      <c r="I305" t="s">
        <v>34</v>
      </c>
      <c r="J305" t="s">
        <v>675</v>
      </c>
      <c r="K305" s="86" t="s">
        <v>676</v>
      </c>
    </row>
    <row r="306" spans="1:11" ht="12.5" customHeight="1">
      <c r="A306" s="95"/>
      <c r="B306" t="s">
        <v>663</v>
      </c>
      <c r="C306" t="s">
        <v>30</v>
      </c>
      <c r="D306" t="s">
        <v>40</v>
      </c>
      <c r="E306" s="78" t="s">
        <v>677</v>
      </c>
      <c r="F306" t="s">
        <v>678</v>
      </c>
      <c r="G306" s="25">
        <v>46145</v>
      </c>
      <c r="H306" t="s">
        <v>16</v>
      </c>
      <c r="I306" t="s">
        <v>17</v>
      </c>
      <c r="J306" t="s">
        <v>679</v>
      </c>
      <c r="K306" s="86" t="s">
        <v>680</v>
      </c>
    </row>
    <row r="307" spans="1:11" ht="12.5" customHeight="1">
      <c r="A307" s="95"/>
      <c r="B307" t="s">
        <v>663</v>
      </c>
      <c r="C307" t="s">
        <v>30</v>
      </c>
      <c r="D307" t="s">
        <v>43</v>
      </c>
      <c r="E307" s="78" t="s">
        <v>681</v>
      </c>
      <c r="F307" t="s">
        <v>682</v>
      </c>
      <c r="G307" s="25">
        <v>46145</v>
      </c>
      <c r="H307" t="s">
        <v>254</v>
      </c>
      <c r="I307" t="s">
        <v>34</v>
      </c>
      <c r="J307" t="s">
        <v>683</v>
      </c>
      <c r="K307" s="86" t="s">
        <v>684</v>
      </c>
    </row>
    <row r="308" spans="1:11" ht="12.5" customHeight="1">
      <c r="A308" s="95"/>
      <c r="B308" t="s">
        <v>663</v>
      </c>
      <c r="C308" t="s">
        <v>30</v>
      </c>
      <c r="D308" t="s">
        <v>47</v>
      </c>
      <c r="E308" s="78" t="s">
        <v>685</v>
      </c>
      <c r="F308" t="s">
        <v>686</v>
      </c>
      <c r="G308" s="25">
        <v>46145</v>
      </c>
      <c r="H308" t="s">
        <v>16</v>
      </c>
      <c r="I308" t="s">
        <v>17</v>
      </c>
      <c r="J308" t="s">
        <v>687</v>
      </c>
      <c r="K308" s="86" t="s">
        <v>680</v>
      </c>
    </row>
    <row r="309" spans="1:11" ht="12.5" customHeight="1">
      <c r="A309" s="95"/>
      <c r="B309" t="s">
        <v>663</v>
      </c>
      <c r="C309" t="s">
        <v>30</v>
      </c>
      <c r="D309" t="s">
        <v>52</v>
      </c>
      <c r="E309" s="78" t="s">
        <v>688</v>
      </c>
      <c r="F309" t="s">
        <v>689</v>
      </c>
      <c r="G309" s="25">
        <v>46145</v>
      </c>
      <c r="H309" t="s">
        <v>254</v>
      </c>
      <c r="I309" t="s">
        <v>17</v>
      </c>
      <c r="J309" t="s">
        <v>683</v>
      </c>
      <c r="K309" s="86" t="s">
        <v>684</v>
      </c>
    </row>
    <row r="310" spans="1:11" ht="12.5" customHeight="1">
      <c r="A310" s="95"/>
      <c r="B310" t="s">
        <v>663</v>
      </c>
      <c r="C310" t="s">
        <v>30</v>
      </c>
      <c r="D310" t="s">
        <v>56</v>
      </c>
      <c r="E310" s="78" t="s">
        <v>26</v>
      </c>
      <c r="F310" t="s">
        <v>920</v>
      </c>
      <c r="G310" s="25" t="s">
        <v>138</v>
      </c>
      <c r="H310" t="s">
        <v>189</v>
      </c>
      <c r="I310" t="s">
        <v>34</v>
      </c>
      <c r="J310" t="s">
        <v>690</v>
      </c>
      <c r="K310" s="86" t="s">
        <v>671</v>
      </c>
    </row>
    <row r="311" spans="1:11" ht="12.5" customHeight="1">
      <c r="A311" s="95"/>
      <c r="B311" t="s">
        <v>663</v>
      </c>
      <c r="C311" t="s">
        <v>30</v>
      </c>
      <c r="D311" t="s">
        <v>61</v>
      </c>
      <c r="E311" s="78" t="s">
        <v>26</v>
      </c>
      <c r="F311" t="s">
        <v>691</v>
      </c>
      <c r="G311" s="25">
        <v>46145</v>
      </c>
      <c r="H311" t="s">
        <v>16</v>
      </c>
      <c r="I311" t="s">
        <v>28</v>
      </c>
      <c r="J311" s="87" t="s">
        <v>692</v>
      </c>
      <c r="K311" s="85" t="s">
        <v>693</v>
      </c>
    </row>
    <row r="312" spans="1:11" ht="12.5" customHeight="1">
      <c r="A312" s="95"/>
      <c r="B312" t="s">
        <v>663</v>
      </c>
      <c r="C312" t="s">
        <v>65</v>
      </c>
      <c r="D312" t="s">
        <v>66</v>
      </c>
      <c r="E312" s="78" t="s">
        <v>26</v>
      </c>
      <c r="F312" t="s">
        <v>694</v>
      </c>
      <c r="G312" s="25">
        <v>46145</v>
      </c>
      <c r="H312" t="s">
        <v>16</v>
      </c>
      <c r="I312" t="s">
        <v>28</v>
      </c>
      <c r="J312" t="s">
        <v>695</v>
      </c>
      <c r="K312" s="86" t="s">
        <v>671</v>
      </c>
    </row>
    <row r="313" spans="1:11" ht="12.5" customHeight="1">
      <c r="A313" s="95"/>
      <c r="B313" t="s">
        <v>663</v>
      </c>
      <c r="C313" t="s">
        <v>65</v>
      </c>
      <c r="D313" t="s">
        <v>72</v>
      </c>
      <c r="E313" s="78" t="s">
        <v>672</v>
      </c>
      <c r="F313" t="s">
        <v>696</v>
      </c>
      <c r="G313" s="25">
        <v>46145</v>
      </c>
      <c r="H313" t="s">
        <v>16</v>
      </c>
      <c r="I313" t="s">
        <v>17</v>
      </c>
      <c r="J313" t="s">
        <v>697</v>
      </c>
      <c r="K313" s="86" t="s">
        <v>680</v>
      </c>
    </row>
    <row r="314" spans="1:11" ht="12.5" customHeight="1">
      <c r="A314" s="95"/>
      <c r="B314" t="s">
        <v>663</v>
      </c>
      <c r="C314" t="s">
        <v>65</v>
      </c>
      <c r="D314" t="s">
        <v>77</v>
      </c>
      <c r="E314" s="78" t="s">
        <v>26</v>
      </c>
      <c r="F314" t="s">
        <v>698</v>
      </c>
      <c r="G314" s="25">
        <v>46145</v>
      </c>
      <c r="H314" t="s">
        <v>16</v>
      </c>
      <c r="I314" t="s">
        <v>28</v>
      </c>
      <c r="J314" t="s">
        <v>699</v>
      </c>
      <c r="K314" s="86" t="s">
        <v>680</v>
      </c>
    </row>
    <row r="315" spans="1:11" ht="12.5" customHeight="1">
      <c r="A315" s="95"/>
      <c r="B315" t="s">
        <v>663</v>
      </c>
      <c r="C315" t="s">
        <v>65</v>
      </c>
      <c r="D315" t="s">
        <v>81</v>
      </c>
      <c r="E315" s="78" t="s">
        <v>82</v>
      </c>
      <c r="F315" t="s">
        <v>700</v>
      </c>
      <c r="G315" s="25">
        <v>46145</v>
      </c>
      <c r="H315" t="s">
        <v>16</v>
      </c>
      <c r="I315" t="s">
        <v>17</v>
      </c>
      <c r="J315" t="s">
        <v>701</v>
      </c>
      <c r="K315" s="86" t="s">
        <v>702</v>
      </c>
    </row>
    <row r="316" spans="1:11" ht="12.5" customHeight="1">
      <c r="A316" s="95"/>
      <c r="B316" t="s">
        <v>663</v>
      </c>
      <c r="C316" t="s">
        <v>85</v>
      </c>
      <c r="D316" t="s">
        <v>86</v>
      </c>
      <c r="E316" s="78" t="s">
        <v>703</v>
      </c>
      <c r="F316" t="s">
        <v>704</v>
      </c>
      <c r="G316" s="25">
        <v>46145</v>
      </c>
      <c r="H316" t="s">
        <v>254</v>
      </c>
      <c r="I316" t="s">
        <v>17</v>
      </c>
      <c r="J316" t="s">
        <v>705</v>
      </c>
      <c r="K316" s="86" t="s">
        <v>684</v>
      </c>
    </row>
    <row r="317" spans="1:11" ht="12.5" customHeight="1">
      <c r="A317" s="95"/>
      <c r="B317" t="s">
        <v>663</v>
      </c>
      <c r="C317" t="s">
        <v>65</v>
      </c>
      <c r="D317" t="s">
        <v>91</v>
      </c>
      <c r="E317" s="78" t="s">
        <v>706</v>
      </c>
      <c r="F317" t="s">
        <v>707</v>
      </c>
      <c r="G317" s="25">
        <v>46145</v>
      </c>
      <c r="H317" t="s">
        <v>16</v>
      </c>
      <c r="I317" t="s">
        <v>17</v>
      </c>
      <c r="J317" t="s">
        <v>708</v>
      </c>
      <c r="K317" s="86" t="s">
        <v>693</v>
      </c>
    </row>
    <row r="318" spans="1:11" ht="12.5" customHeight="1">
      <c r="A318" s="95"/>
      <c r="B318" t="s">
        <v>663</v>
      </c>
      <c r="C318" t="s">
        <v>65</v>
      </c>
      <c r="D318" t="s">
        <v>95</v>
      </c>
      <c r="E318" s="78" t="s">
        <v>26</v>
      </c>
      <c r="F318" t="s">
        <v>709</v>
      </c>
      <c r="G318" s="25">
        <v>46145</v>
      </c>
      <c r="H318" t="s">
        <v>16</v>
      </c>
      <c r="I318" t="s">
        <v>34</v>
      </c>
      <c r="J318" t="s">
        <v>708</v>
      </c>
      <c r="K318" s="86" t="s">
        <v>693</v>
      </c>
    </row>
    <row r="319" spans="1:11" ht="12.5" customHeight="1">
      <c r="A319" s="95"/>
      <c r="B319" t="s">
        <v>663</v>
      </c>
      <c r="C319" t="s">
        <v>65</v>
      </c>
      <c r="D319" t="s">
        <v>100</v>
      </c>
      <c r="E319" s="78" t="s">
        <v>710</v>
      </c>
      <c r="F319" t="s">
        <v>711</v>
      </c>
      <c r="G319" s="25">
        <v>46145</v>
      </c>
      <c r="H319" t="s">
        <v>16</v>
      </c>
      <c r="I319" t="s">
        <v>17</v>
      </c>
      <c r="J319" t="s">
        <v>712</v>
      </c>
      <c r="K319" s="86" t="s">
        <v>680</v>
      </c>
    </row>
    <row r="320" spans="1:11" ht="12.5" customHeight="1">
      <c r="A320" s="95"/>
      <c r="B320" t="s">
        <v>663</v>
      </c>
      <c r="C320" t="s">
        <v>85</v>
      </c>
      <c r="D320" t="s">
        <v>103</v>
      </c>
      <c r="E320" s="78" t="s">
        <v>26</v>
      </c>
      <c r="F320" t="s">
        <v>713</v>
      </c>
      <c r="G320" s="25">
        <v>46145</v>
      </c>
      <c r="H320" t="s">
        <v>16</v>
      </c>
      <c r="I320" t="s">
        <v>28</v>
      </c>
      <c r="J320" t="s">
        <v>714</v>
      </c>
      <c r="K320" s="86" t="s">
        <v>693</v>
      </c>
    </row>
    <row r="321" spans="1:11" ht="12.5" customHeight="1">
      <c r="A321" s="95"/>
      <c r="B321" t="s">
        <v>663</v>
      </c>
      <c r="C321" t="s">
        <v>85</v>
      </c>
      <c r="D321" t="s">
        <v>108</v>
      </c>
      <c r="E321" s="78" t="s">
        <v>715</v>
      </c>
      <c r="F321" t="s">
        <v>716</v>
      </c>
      <c r="G321" s="25">
        <v>46145</v>
      </c>
      <c r="H321" t="s">
        <v>16</v>
      </c>
      <c r="I321" t="s">
        <v>17</v>
      </c>
      <c r="J321" t="s">
        <v>717</v>
      </c>
      <c r="K321" s="86" t="s">
        <v>671</v>
      </c>
    </row>
    <row r="322" spans="1:11" ht="12.5" customHeight="1">
      <c r="A322" s="95"/>
      <c r="B322" t="s">
        <v>663</v>
      </c>
      <c r="C322" t="s">
        <v>112</v>
      </c>
      <c r="D322" s="88" t="s">
        <v>718</v>
      </c>
      <c r="E322" s="78" t="s">
        <v>719</v>
      </c>
      <c r="F322" t="s">
        <v>720</v>
      </c>
      <c r="G322" s="25">
        <v>46145</v>
      </c>
      <c r="H322" t="s">
        <v>254</v>
      </c>
      <c r="I322" t="s">
        <v>34</v>
      </c>
      <c r="J322" t="s">
        <v>720</v>
      </c>
      <c r="K322" s="86" t="s">
        <v>684</v>
      </c>
    </row>
    <row r="323" spans="1:11" ht="12.5" customHeight="1">
      <c r="A323" s="95"/>
      <c r="B323" t="s">
        <v>663</v>
      </c>
      <c r="C323" t="s">
        <v>112</v>
      </c>
      <c r="D323" t="s">
        <v>118</v>
      </c>
      <c r="E323" s="78" t="s">
        <v>243</v>
      </c>
      <c r="F323" t="s">
        <v>721</v>
      </c>
      <c r="G323" s="25">
        <v>46145</v>
      </c>
      <c r="H323" t="s">
        <v>16</v>
      </c>
      <c r="I323" t="s">
        <v>17</v>
      </c>
      <c r="J323" t="s">
        <v>722</v>
      </c>
      <c r="K323" s="86" t="s">
        <v>702</v>
      </c>
    </row>
    <row r="324" spans="1:11" ht="12.5" customHeight="1">
      <c r="A324" s="93">
        <v>15</v>
      </c>
      <c r="B324" t="s">
        <v>723</v>
      </c>
      <c r="C324" t="s">
        <v>12</v>
      </c>
      <c r="D324" t="s">
        <v>13</v>
      </c>
      <c r="E324" s="78" t="s">
        <v>724</v>
      </c>
      <c r="F324" t="s">
        <v>725</v>
      </c>
      <c r="G324" s="25">
        <v>46145</v>
      </c>
      <c r="H324" t="s">
        <v>16</v>
      </c>
      <c r="I324" t="s">
        <v>17</v>
      </c>
      <c r="J324" t="s">
        <v>726</v>
      </c>
      <c r="K324" s="86" t="s">
        <v>727</v>
      </c>
    </row>
    <row r="325" spans="1:11" ht="12.5" customHeight="1">
      <c r="A325" s="95"/>
      <c r="B325" t="s">
        <v>723</v>
      </c>
      <c r="C325" t="s">
        <v>12</v>
      </c>
      <c r="D325" t="s">
        <v>20</v>
      </c>
      <c r="E325" s="78" t="s">
        <v>728</v>
      </c>
      <c r="F325" t="s">
        <v>729</v>
      </c>
      <c r="G325" s="25">
        <v>46145</v>
      </c>
      <c r="H325" t="s">
        <v>16</v>
      </c>
      <c r="I325" t="s">
        <v>34</v>
      </c>
      <c r="J325" t="s">
        <v>730</v>
      </c>
      <c r="K325" s="86" t="s">
        <v>727</v>
      </c>
    </row>
    <row r="326" spans="1:11" ht="12.5" customHeight="1">
      <c r="A326" s="95"/>
      <c r="B326" t="s">
        <v>723</v>
      </c>
      <c r="C326" t="s">
        <v>12</v>
      </c>
      <c r="D326" t="s">
        <v>25</v>
      </c>
      <c r="E326" s="78" t="s">
        <v>26</v>
      </c>
      <c r="F326" t="s">
        <v>731</v>
      </c>
      <c r="G326" s="25">
        <v>46145</v>
      </c>
      <c r="H326" t="s">
        <v>16</v>
      </c>
      <c r="I326" t="s">
        <v>28</v>
      </c>
      <c r="J326" t="s">
        <v>732</v>
      </c>
      <c r="K326" s="86" t="s">
        <v>733</v>
      </c>
    </row>
    <row r="327" spans="1:11" ht="12.5" customHeight="1">
      <c r="A327" s="95"/>
      <c r="B327" t="s">
        <v>723</v>
      </c>
      <c r="C327" t="s">
        <v>30</v>
      </c>
      <c r="D327" t="s">
        <v>31</v>
      </c>
      <c r="E327" s="78" t="s">
        <v>32</v>
      </c>
      <c r="F327" t="s">
        <v>734</v>
      </c>
      <c r="G327" s="25">
        <v>46145</v>
      </c>
      <c r="H327" t="s">
        <v>16</v>
      </c>
      <c r="I327" t="s">
        <v>17</v>
      </c>
      <c r="J327" t="s">
        <v>735</v>
      </c>
      <c r="K327" s="86" t="s">
        <v>736</v>
      </c>
    </row>
    <row r="328" spans="1:11" ht="12.5" customHeight="1">
      <c r="A328" s="95"/>
      <c r="B328" t="s">
        <v>723</v>
      </c>
      <c r="C328" t="s">
        <v>30</v>
      </c>
      <c r="D328" t="s">
        <v>36</v>
      </c>
      <c r="E328" s="78" t="s">
        <v>672</v>
      </c>
      <c r="F328" t="s">
        <v>737</v>
      </c>
      <c r="G328" s="25">
        <v>46145</v>
      </c>
      <c r="H328" t="s">
        <v>16</v>
      </c>
      <c r="I328" t="s">
        <v>17</v>
      </c>
      <c r="J328" t="s">
        <v>738</v>
      </c>
      <c r="K328" s="86" t="s">
        <v>733</v>
      </c>
    </row>
    <row r="329" spans="1:11" ht="12.5" customHeight="1">
      <c r="A329" s="95"/>
      <c r="B329" t="s">
        <v>723</v>
      </c>
      <c r="C329" t="s">
        <v>30</v>
      </c>
      <c r="D329" t="s">
        <v>40</v>
      </c>
      <c r="E329" s="78" t="s">
        <v>739</v>
      </c>
      <c r="F329" t="s">
        <v>740</v>
      </c>
      <c r="G329" s="25">
        <v>46145</v>
      </c>
      <c r="H329" t="s">
        <v>16</v>
      </c>
      <c r="I329" t="s">
        <v>17</v>
      </c>
      <c r="J329" t="s">
        <v>741</v>
      </c>
      <c r="K329" s="86" t="s">
        <v>727</v>
      </c>
    </row>
    <row r="330" spans="1:11" ht="12.5" customHeight="1">
      <c r="A330" s="95"/>
      <c r="B330" t="s">
        <v>723</v>
      </c>
      <c r="C330" t="s">
        <v>30</v>
      </c>
      <c r="D330" t="s">
        <v>43</v>
      </c>
      <c r="E330" s="78" t="s">
        <v>742</v>
      </c>
      <c r="F330" t="s">
        <v>743</v>
      </c>
      <c r="G330" s="25">
        <v>46145</v>
      </c>
      <c r="H330" t="s">
        <v>16</v>
      </c>
      <c r="I330" t="s">
        <v>17</v>
      </c>
      <c r="J330" t="s">
        <v>738</v>
      </c>
      <c r="K330" s="86" t="s">
        <v>733</v>
      </c>
    </row>
    <row r="331" spans="1:11" ht="12.5" customHeight="1">
      <c r="A331" s="95"/>
      <c r="B331" t="s">
        <v>723</v>
      </c>
      <c r="C331" t="s">
        <v>30</v>
      </c>
      <c r="D331" t="s">
        <v>47</v>
      </c>
      <c r="E331" s="78" t="s">
        <v>48</v>
      </c>
      <c r="F331" t="s">
        <v>923</v>
      </c>
      <c r="G331" s="25" t="s">
        <v>138</v>
      </c>
      <c r="H331" t="s">
        <v>139</v>
      </c>
      <c r="I331" t="s">
        <v>17</v>
      </c>
      <c r="J331" t="s">
        <v>744</v>
      </c>
      <c r="K331" s="86" t="s">
        <v>733</v>
      </c>
    </row>
    <row r="332" spans="1:11" ht="12.5" customHeight="1">
      <c r="A332" s="95"/>
      <c r="B332" t="s">
        <v>723</v>
      </c>
      <c r="C332" t="s">
        <v>30</v>
      </c>
      <c r="D332" t="s">
        <v>52</v>
      </c>
      <c r="E332" s="78" t="s">
        <v>53</v>
      </c>
      <c r="F332" t="s">
        <v>745</v>
      </c>
      <c r="G332" s="25">
        <v>46145</v>
      </c>
      <c r="H332" t="s">
        <v>16</v>
      </c>
      <c r="I332" t="s">
        <v>17</v>
      </c>
      <c r="J332" t="s">
        <v>746</v>
      </c>
      <c r="K332" s="86" t="s">
        <v>733</v>
      </c>
    </row>
    <row r="333" spans="1:11" ht="12.5" customHeight="1">
      <c r="A333" s="95"/>
      <c r="B333" t="s">
        <v>723</v>
      </c>
      <c r="C333" t="s">
        <v>30</v>
      </c>
      <c r="D333" t="s">
        <v>56</v>
      </c>
      <c r="E333" s="78" t="s">
        <v>26</v>
      </c>
      <c r="F333" t="s">
        <v>747</v>
      </c>
      <c r="G333" s="25">
        <v>46145</v>
      </c>
      <c r="H333" t="s">
        <v>16</v>
      </c>
      <c r="I333" t="s">
        <v>28</v>
      </c>
      <c r="J333" t="s">
        <v>748</v>
      </c>
      <c r="K333" s="86" t="s">
        <v>749</v>
      </c>
    </row>
    <row r="334" spans="1:11" ht="12.5" customHeight="1">
      <c r="A334" s="95"/>
      <c r="B334" t="s">
        <v>723</v>
      </c>
      <c r="C334" t="s">
        <v>30</v>
      </c>
      <c r="D334" t="s">
        <v>61</v>
      </c>
      <c r="E334" s="78" t="s">
        <v>62</v>
      </c>
      <c r="F334" t="s">
        <v>750</v>
      </c>
      <c r="G334" s="25">
        <v>46145</v>
      </c>
      <c r="H334" t="s">
        <v>16</v>
      </c>
      <c r="I334" t="s">
        <v>34</v>
      </c>
      <c r="J334" t="s">
        <v>751</v>
      </c>
      <c r="K334" s="86" t="s">
        <v>752</v>
      </c>
    </row>
    <row r="335" spans="1:11" ht="12.5" customHeight="1">
      <c r="A335" s="95"/>
      <c r="B335" t="s">
        <v>723</v>
      </c>
      <c r="C335" t="s">
        <v>65</v>
      </c>
      <c r="D335" t="s">
        <v>66</v>
      </c>
      <c r="E335" s="78" t="s">
        <v>67</v>
      </c>
      <c r="F335" t="s">
        <v>753</v>
      </c>
      <c r="G335" s="25">
        <v>46145</v>
      </c>
      <c r="H335" t="s">
        <v>69</v>
      </c>
      <c r="I335" t="s">
        <v>17</v>
      </c>
      <c r="J335" t="s">
        <v>70</v>
      </c>
      <c r="K335" s="86" t="s">
        <v>754</v>
      </c>
    </row>
    <row r="336" spans="1:11" ht="12.5" customHeight="1">
      <c r="A336" s="95"/>
      <c r="B336" t="s">
        <v>723</v>
      </c>
      <c r="C336" t="s">
        <v>65</v>
      </c>
      <c r="D336" t="s">
        <v>72</v>
      </c>
      <c r="E336" s="78" t="s">
        <v>73</v>
      </c>
      <c r="F336" t="s">
        <v>755</v>
      </c>
      <c r="G336" s="25">
        <v>46145</v>
      </c>
      <c r="H336" t="s">
        <v>16</v>
      </c>
      <c r="I336" t="s">
        <v>17</v>
      </c>
      <c r="J336" t="s">
        <v>756</v>
      </c>
      <c r="K336" s="86" t="s">
        <v>733</v>
      </c>
    </row>
    <row r="337" spans="1:11" ht="12.5" customHeight="1">
      <c r="A337" s="95"/>
      <c r="B337" t="s">
        <v>723</v>
      </c>
      <c r="C337" t="s">
        <v>65</v>
      </c>
      <c r="D337" t="s">
        <v>77</v>
      </c>
      <c r="E337" s="78" t="s">
        <v>26</v>
      </c>
      <c r="F337" t="s">
        <v>757</v>
      </c>
      <c r="G337" s="25">
        <v>46145</v>
      </c>
      <c r="H337" t="s">
        <v>16</v>
      </c>
      <c r="I337" t="s">
        <v>28</v>
      </c>
      <c r="J337" t="s">
        <v>756</v>
      </c>
      <c r="K337" s="86" t="s">
        <v>733</v>
      </c>
    </row>
    <row r="338" spans="1:11" ht="12.5" customHeight="1">
      <c r="A338" s="95"/>
      <c r="B338" t="s">
        <v>723</v>
      </c>
      <c r="C338" t="s">
        <v>65</v>
      </c>
      <c r="D338" t="s">
        <v>81</v>
      </c>
      <c r="E338" s="78" t="s">
        <v>533</v>
      </c>
      <c r="F338" t="s">
        <v>922</v>
      </c>
      <c r="G338" s="25" t="s">
        <v>138</v>
      </c>
      <c r="H338" t="s">
        <v>758</v>
      </c>
      <c r="I338" t="s">
        <v>34</v>
      </c>
      <c r="J338" t="s">
        <v>759</v>
      </c>
      <c r="K338" s="86" t="s">
        <v>760</v>
      </c>
    </row>
    <row r="339" spans="1:11" ht="12.5" customHeight="1">
      <c r="A339" s="95"/>
      <c r="B339" t="s">
        <v>723</v>
      </c>
      <c r="C339" t="s">
        <v>85</v>
      </c>
      <c r="D339" t="s">
        <v>86</v>
      </c>
      <c r="E339" s="78" t="s">
        <v>761</v>
      </c>
      <c r="F339" t="s">
        <v>762</v>
      </c>
      <c r="G339" s="25">
        <v>46145</v>
      </c>
      <c r="H339" t="s">
        <v>16</v>
      </c>
      <c r="I339" t="s">
        <v>17</v>
      </c>
      <c r="J339" t="s">
        <v>763</v>
      </c>
      <c r="K339" s="86" t="s">
        <v>764</v>
      </c>
    </row>
    <row r="340" spans="1:11" ht="12.5" customHeight="1">
      <c r="A340" s="95"/>
      <c r="B340" t="s">
        <v>723</v>
      </c>
      <c r="C340" t="s">
        <v>65</v>
      </c>
      <c r="D340" t="s">
        <v>91</v>
      </c>
      <c r="E340" s="78" t="s">
        <v>92</v>
      </c>
      <c r="F340" t="s">
        <v>921</v>
      </c>
      <c r="G340" s="25" t="s">
        <v>138</v>
      </c>
      <c r="H340" t="s">
        <v>139</v>
      </c>
      <c r="I340" t="s">
        <v>17</v>
      </c>
      <c r="J340" t="s">
        <v>765</v>
      </c>
      <c r="K340" s="86" t="s">
        <v>736</v>
      </c>
    </row>
    <row r="341" spans="1:11" ht="12.5" customHeight="1">
      <c r="A341" s="95"/>
      <c r="B341" t="s">
        <v>723</v>
      </c>
      <c r="C341" t="s">
        <v>65</v>
      </c>
      <c r="D341" t="s">
        <v>95</v>
      </c>
      <c r="E341" s="78" t="s">
        <v>96</v>
      </c>
      <c r="F341" t="s">
        <v>1554</v>
      </c>
      <c r="G341" s="25" t="s">
        <v>138</v>
      </c>
      <c r="H341" t="s">
        <v>139</v>
      </c>
      <c r="I341" t="s">
        <v>34</v>
      </c>
      <c r="J341" t="s">
        <v>766</v>
      </c>
      <c r="K341" s="86" t="s">
        <v>752</v>
      </c>
    </row>
    <row r="342" spans="1:11" ht="12.5" customHeight="1">
      <c r="A342" s="95"/>
      <c r="B342" t="s">
        <v>723</v>
      </c>
      <c r="C342" t="s">
        <v>65</v>
      </c>
      <c r="D342" t="s">
        <v>100</v>
      </c>
      <c r="E342" s="78" t="s">
        <v>26</v>
      </c>
      <c r="F342" t="s">
        <v>924</v>
      </c>
      <c r="G342" s="25" t="s">
        <v>138</v>
      </c>
      <c r="H342" t="s">
        <v>139</v>
      </c>
      <c r="I342" t="s">
        <v>28</v>
      </c>
      <c r="J342" t="s">
        <v>767</v>
      </c>
      <c r="K342" s="86" t="s">
        <v>752</v>
      </c>
    </row>
    <row r="343" spans="1:11" ht="12.5" customHeight="1">
      <c r="A343" s="95"/>
      <c r="B343" t="s">
        <v>723</v>
      </c>
      <c r="C343" t="s">
        <v>85</v>
      </c>
      <c r="D343" t="s">
        <v>103</v>
      </c>
      <c r="E343" s="78" t="s">
        <v>768</v>
      </c>
      <c r="F343" t="s">
        <v>769</v>
      </c>
      <c r="G343" s="25">
        <v>46145</v>
      </c>
      <c r="H343" t="s">
        <v>16</v>
      </c>
      <c r="I343" t="s">
        <v>17</v>
      </c>
      <c r="J343" t="s">
        <v>770</v>
      </c>
      <c r="K343" s="86" t="s">
        <v>760</v>
      </c>
    </row>
    <row r="344" spans="1:11" ht="12.5" customHeight="1">
      <c r="A344" s="95"/>
      <c r="B344" t="s">
        <v>723</v>
      </c>
      <c r="C344" t="s">
        <v>85</v>
      </c>
      <c r="D344" t="s">
        <v>108</v>
      </c>
      <c r="E344" s="78" t="s">
        <v>771</v>
      </c>
      <c r="F344" t="s">
        <v>772</v>
      </c>
      <c r="G344" s="25">
        <v>46145</v>
      </c>
      <c r="H344" t="s">
        <v>16</v>
      </c>
      <c r="I344" t="s">
        <v>17</v>
      </c>
      <c r="J344" t="s">
        <v>773</v>
      </c>
      <c r="K344" s="86" t="s">
        <v>733</v>
      </c>
    </row>
    <row r="345" spans="1:11" ht="12.5" customHeight="1">
      <c r="A345" s="95"/>
      <c r="B345" t="s">
        <v>723</v>
      </c>
      <c r="C345" t="s">
        <v>112</v>
      </c>
      <c r="D345" t="s">
        <v>113</v>
      </c>
      <c r="E345" s="78" t="s">
        <v>26</v>
      </c>
      <c r="F345" t="s">
        <v>774</v>
      </c>
      <c r="G345" s="25">
        <v>46145</v>
      </c>
      <c r="H345" t="s">
        <v>16</v>
      </c>
      <c r="I345" t="s">
        <v>28</v>
      </c>
      <c r="J345" t="s">
        <v>775</v>
      </c>
      <c r="K345" s="86" t="s">
        <v>733</v>
      </c>
    </row>
    <row r="346" spans="1:11" ht="12.5" customHeight="1">
      <c r="A346" s="95"/>
      <c r="B346" t="s">
        <v>723</v>
      </c>
      <c r="C346" t="s">
        <v>112</v>
      </c>
      <c r="D346" t="s">
        <v>118</v>
      </c>
      <c r="E346" s="78" t="s">
        <v>776</v>
      </c>
      <c r="F346" t="s">
        <v>777</v>
      </c>
      <c r="G346" s="25">
        <v>46145</v>
      </c>
      <c r="H346" t="s">
        <v>16</v>
      </c>
      <c r="I346" t="s">
        <v>17</v>
      </c>
      <c r="J346" t="s">
        <v>778</v>
      </c>
      <c r="K346" s="86" t="s">
        <v>733</v>
      </c>
    </row>
    <row r="347" spans="1:11" ht="12.5" customHeight="1">
      <c r="A347" s="93">
        <v>16</v>
      </c>
      <c r="B347" t="s">
        <v>779</v>
      </c>
      <c r="C347" t="s">
        <v>12</v>
      </c>
      <c r="D347" t="s">
        <v>13</v>
      </c>
      <c r="E347" s="78" t="s">
        <v>124</v>
      </c>
      <c r="F347" t="s">
        <v>780</v>
      </c>
      <c r="G347" s="25">
        <v>46145</v>
      </c>
      <c r="H347" t="s">
        <v>249</v>
      </c>
      <c r="I347" t="s">
        <v>17</v>
      </c>
      <c r="J347" t="s">
        <v>781</v>
      </c>
      <c r="K347" s="86" t="s">
        <v>782</v>
      </c>
    </row>
    <row r="348" spans="1:11" ht="12.5" customHeight="1">
      <c r="A348" s="95"/>
      <c r="B348" t="s">
        <v>779</v>
      </c>
      <c r="C348" t="s">
        <v>12</v>
      </c>
      <c r="D348" t="s">
        <v>20</v>
      </c>
      <c r="E348" s="78" t="s">
        <v>128</v>
      </c>
      <c r="F348" t="s">
        <v>783</v>
      </c>
      <c r="G348" s="25">
        <v>46145</v>
      </c>
      <c r="H348" t="s">
        <v>249</v>
      </c>
      <c r="I348" t="s">
        <v>17</v>
      </c>
      <c r="J348" t="s">
        <v>784</v>
      </c>
      <c r="K348" s="86" t="s">
        <v>782</v>
      </c>
    </row>
    <row r="349" spans="1:11" ht="12.5" customHeight="1">
      <c r="A349" s="95"/>
      <c r="B349" t="s">
        <v>779</v>
      </c>
      <c r="C349" t="s">
        <v>12</v>
      </c>
      <c r="D349" t="s">
        <v>25</v>
      </c>
      <c r="E349" s="78" t="s">
        <v>672</v>
      </c>
      <c r="F349" t="s">
        <v>785</v>
      </c>
      <c r="G349" s="25">
        <v>46145</v>
      </c>
      <c r="H349" t="s">
        <v>249</v>
      </c>
      <c r="I349" t="s">
        <v>17</v>
      </c>
      <c r="J349" t="s">
        <v>786</v>
      </c>
      <c r="K349" s="86" t="s">
        <v>782</v>
      </c>
    </row>
    <row r="350" spans="1:11" ht="12.5" customHeight="1">
      <c r="A350" s="95"/>
      <c r="B350" t="s">
        <v>779</v>
      </c>
      <c r="C350" t="s">
        <v>30</v>
      </c>
      <c r="D350" t="s">
        <v>31</v>
      </c>
      <c r="E350" s="78" t="s">
        <v>32</v>
      </c>
      <c r="F350" t="s">
        <v>787</v>
      </c>
      <c r="G350" s="25">
        <v>46145</v>
      </c>
      <c r="H350" t="s">
        <v>249</v>
      </c>
      <c r="I350" t="s">
        <v>17</v>
      </c>
      <c r="J350" t="s">
        <v>788</v>
      </c>
      <c r="K350" s="86" t="s">
        <v>782</v>
      </c>
    </row>
    <row r="351" spans="1:11" ht="12.5" customHeight="1">
      <c r="A351" s="95"/>
      <c r="B351" t="s">
        <v>779</v>
      </c>
      <c r="C351" t="s">
        <v>30</v>
      </c>
      <c r="D351" t="s">
        <v>36</v>
      </c>
      <c r="E351" s="78" t="s">
        <v>135</v>
      </c>
      <c r="F351" t="s">
        <v>789</v>
      </c>
      <c r="G351" s="25">
        <v>46145</v>
      </c>
      <c r="H351" t="s">
        <v>249</v>
      </c>
      <c r="I351" t="s">
        <v>17</v>
      </c>
      <c r="J351" t="s">
        <v>790</v>
      </c>
      <c r="K351" s="86" t="s">
        <v>782</v>
      </c>
    </row>
    <row r="352" spans="1:11" ht="12.5" customHeight="1">
      <c r="A352" s="95"/>
      <c r="B352" t="s">
        <v>779</v>
      </c>
      <c r="C352" t="s">
        <v>30</v>
      </c>
      <c r="D352" t="s">
        <v>40</v>
      </c>
      <c r="E352" s="78" t="s">
        <v>26</v>
      </c>
      <c r="F352" t="s">
        <v>791</v>
      </c>
      <c r="G352" s="25">
        <v>46145</v>
      </c>
      <c r="H352" t="s">
        <v>249</v>
      </c>
      <c r="I352" t="s">
        <v>28</v>
      </c>
      <c r="J352" t="s">
        <v>42</v>
      </c>
      <c r="K352" s="86" t="s">
        <v>782</v>
      </c>
    </row>
    <row r="353" spans="1:11" ht="12.5" customHeight="1">
      <c r="A353" s="95"/>
      <c r="B353" t="s">
        <v>779</v>
      </c>
      <c r="C353" t="s">
        <v>30</v>
      </c>
      <c r="D353" t="s">
        <v>43</v>
      </c>
      <c r="E353" s="78" t="s">
        <v>44</v>
      </c>
      <c r="F353" t="s">
        <v>792</v>
      </c>
      <c r="G353" s="25">
        <v>46145</v>
      </c>
      <c r="H353" t="s">
        <v>249</v>
      </c>
      <c r="I353" t="s">
        <v>17</v>
      </c>
      <c r="J353" t="s">
        <v>793</v>
      </c>
      <c r="K353" s="86" t="s">
        <v>782</v>
      </c>
    </row>
    <row r="354" spans="1:11" ht="12.5" customHeight="1">
      <c r="A354" s="95"/>
      <c r="B354" t="s">
        <v>779</v>
      </c>
      <c r="C354" t="s">
        <v>30</v>
      </c>
      <c r="D354" t="s">
        <v>47</v>
      </c>
      <c r="E354" s="78" t="s">
        <v>206</v>
      </c>
      <c r="F354" t="s">
        <v>794</v>
      </c>
      <c r="G354" s="25">
        <v>46145</v>
      </c>
      <c r="H354" t="s">
        <v>249</v>
      </c>
      <c r="I354" t="s">
        <v>17</v>
      </c>
      <c r="J354" t="s">
        <v>795</v>
      </c>
      <c r="K354" s="86" t="s">
        <v>796</v>
      </c>
    </row>
    <row r="355" spans="1:11" ht="12.5" customHeight="1">
      <c r="A355" s="95"/>
      <c r="B355" t="s">
        <v>779</v>
      </c>
      <c r="C355" t="s">
        <v>30</v>
      </c>
      <c r="D355" t="s">
        <v>52</v>
      </c>
      <c r="E355" s="78" t="s">
        <v>53</v>
      </c>
      <c r="F355" t="s">
        <v>797</v>
      </c>
      <c r="G355" s="25">
        <v>46145</v>
      </c>
      <c r="H355" t="s">
        <v>249</v>
      </c>
      <c r="I355" t="s">
        <v>17</v>
      </c>
      <c r="J355" t="s">
        <v>798</v>
      </c>
      <c r="K355" s="86" t="s">
        <v>796</v>
      </c>
    </row>
    <row r="356" spans="1:11" ht="12.5" customHeight="1">
      <c r="A356" s="95"/>
      <c r="B356" t="s">
        <v>779</v>
      </c>
      <c r="C356" t="s">
        <v>30</v>
      </c>
      <c r="D356" t="s">
        <v>56</v>
      </c>
      <c r="E356" s="78" t="s">
        <v>799</v>
      </c>
      <c r="F356" t="s">
        <v>800</v>
      </c>
      <c r="G356" s="25">
        <v>46145</v>
      </c>
      <c r="H356" t="s">
        <v>249</v>
      </c>
      <c r="I356" t="s">
        <v>34</v>
      </c>
      <c r="J356" t="s">
        <v>801</v>
      </c>
      <c r="K356" s="86" t="s">
        <v>782</v>
      </c>
    </row>
    <row r="357" spans="1:11" ht="12.5" customHeight="1">
      <c r="A357" s="95"/>
      <c r="B357" t="s">
        <v>779</v>
      </c>
      <c r="C357" t="s">
        <v>30</v>
      </c>
      <c r="D357" t="s">
        <v>61</v>
      </c>
      <c r="E357" s="78" t="s">
        <v>26</v>
      </c>
      <c r="F357" t="s">
        <v>802</v>
      </c>
      <c r="G357" s="25">
        <v>46145</v>
      </c>
      <c r="H357" t="s">
        <v>249</v>
      </c>
      <c r="I357" t="s">
        <v>28</v>
      </c>
      <c r="J357" t="s">
        <v>803</v>
      </c>
      <c r="K357" s="86" t="s">
        <v>782</v>
      </c>
    </row>
    <row r="358" spans="1:11" ht="12.5" customHeight="1">
      <c r="A358" s="95"/>
      <c r="B358" t="s">
        <v>779</v>
      </c>
      <c r="C358" t="s">
        <v>65</v>
      </c>
      <c r="D358" t="s">
        <v>66</v>
      </c>
      <c r="E358" s="78" t="s">
        <v>67</v>
      </c>
      <c r="F358" t="s">
        <v>804</v>
      </c>
      <c r="G358" s="25">
        <v>46145</v>
      </c>
      <c r="H358" t="s">
        <v>69</v>
      </c>
      <c r="I358" t="s">
        <v>17</v>
      </c>
      <c r="J358" t="s">
        <v>805</v>
      </c>
      <c r="K358" s="86" t="s">
        <v>806</v>
      </c>
    </row>
    <row r="359" spans="1:11" ht="12.5" customHeight="1">
      <c r="A359" s="95"/>
      <c r="B359" t="s">
        <v>779</v>
      </c>
      <c r="C359" t="s">
        <v>65</v>
      </c>
      <c r="D359" t="s">
        <v>72</v>
      </c>
      <c r="E359" s="78" t="s">
        <v>582</v>
      </c>
      <c r="F359" t="s">
        <v>807</v>
      </c>
      <c r="G359" s="25">
        <v>46145</v>
      </c>
      <c r="H359" t="s">
        <v>249</v>
      </c>
      <c r="I359" t="s">
        <v>17</v>
      </c>
      <c r="J359" t="s">
        <v>808</v>
      </c>
      <c r="K359" s="86" t="s">
        <v>796</v>
      </c>
    </row>
    <row r="360" spans="1:11" ht="12.5" customHeight="1">
      <c r="A360" s="95"/>
      <c r="B360" t="s">
        <v>779</v>
      </c>
      <c r="C360" t="s">
        <v>65</v>
      </c>
      <c r="D360" t="s">
        <v>77</v>
      </c>
      <c r="E360" s="78" t="s">
        <v>26</v>
      </c>
      <c r="F360" t="s">
        <v>809</v>
      </c>
      <c r="G360" s="25">
        <v>46145</v>
      </c>
      <c r="H360" t="s">
        <v>249</v>
      </c>
      <c r="I360" t="s">
        <v>28</v>
      </c>
      <c r="J360" t="s">
        <v>532</v>
      </c>
      <c r="K360" s="86" t="s">
        <v>796</v>
      </c>
    </row>
    <row r="361" spans="1:11" ht="12.5" customHeight="1">
      <c r="A361" s="95"/>
      <c r="B361" t="s">
        <v>779</v>
      </c>
      <c r="C361" t="s">
        <v>65</v>
      </c>
      <c r="D361" t="s">
        <v>81</v>
      </c>
      <c r="E361" s="78" t="s">
        <v>82</v>
      </c>
      <c r="F361" t="s">
        <v>810</v>
      </c>
      <c r="G361" s="25">
        <v>46145</v>
      </c>
      <c r="H361" t="s">
        <v>249</v>
      </c>
      <c r="I361" t="s">
        <v>17</v>
      </c>
      <c r="J361" t="s">
        <v>811</v>
      </c>
      <c r="K361" s="86" t="s">
        <v>782</v>
      </c>
    </row>
    <row r="362" spans="1:11" ht="12.5" customHeight="1">
      <c r="A362" s="95"/>
      <c r="B362" t="s">
        <v>779</v>
      </c>
      <c r="C362" t="s">
        <v>85</v>
      </c>
      <c r="D362" t="s">
        <v>86</v>
      </c>
      <c r="E362" s="78" t="s">
        <v>473</v>
      </c>
      <c r="F362" t="s">
        <v>812</v>
      </c>
      <c r="G362" s="25">
        <v>46145</v>
      </c>
      <c r="H362" t="s">
        <v>249</v>
      </c>
      <c r="I362" t="s">
        <v>17</v>
      </c>
      <c r="J362" t="s">
        <v>813</v>
      </c>
      <c r="K362" s="86" t="s">
        <v>782</v>
      </c>
    </row>
    <row r="363" spans="1:11" ht="12.5" customHeight="1">
      <c r="A363" s="95"/>
      <c r="B363" t="s">
        <v>779</v>
      </c>
      <c r="C363" t="s">
        <v>65</v>
      </c>
      <c r="D363" t="s">
        <v>91</v>
      </c>
      <c r="E363" s="78" t="s">
        <v>92</v>
      </c>
      <c r="F363" t="s">
        <v>814</v>
      </c>
      <c r="G363" s="25">
        <v>46145</v>
      </c>
      <c r="H363" t="s">
        <v>249</v>
      </c>
      <c r="I363" t="s">
        <v>17</v>
      </c>
      <c r="J363" t="s">
        <v>815</v>
      </c>
      <c r="K363" s="86" t="s">
        <v>782</v>
      </c>
    </row>
    <row r="364" spans="1:11" ht="12.5" customHeight="1">
      <c r="A364" s="95"/>
      <c r="B364" t="s">
        <v>779</v>
      </c>
      <c r="C364" t="s">
        <v>65</v>
      </c>
      <c r="D364" t="s">
        <v>95</v>
      </c>
      <c r="E364" s="78" t="s">
        <v>231</v>
      </c>
      <c r="F364" t="s">
        <v>816</v>
      </c>
      <c r="G364" s="25">
        <v>46145</v>
      </c>
      <c r="H364" t="s">
        <v>249</v>
      </c>
      <c r="I364" t="s">
        <v>17</v>
      </c>
      <c r="J364" t="s">
        <v>817</v>
      </c>
      <c r="K364" s="86" t="s">
        <v>782</v>
      </c>
    </row>
    <row r="365" spans="1:11" ht="12.5" customHeight="1">
      <c r="A365" s="95"/>
      <c r="B365" t="s">
        <v>779</v>
      </c>
      <c r="C365" t="s">
        <v>65</v>
      </c>
      <c r="D365" t="s">
        <v>100</v>
      </c>
      <c r="E365" s="78" t="s">
        <v>26</v>
      </c>
      <c r="F365" t="s">
        <v>818</v>
      </c>
      <c r="G365" s="25">
        <v>46145</v>
      </c>
      <c r="H365" t="s">
        <v>249</v>
      </c>
      <c r="I365" t="s">
        <v>28</v>
      </c>
      <c r="J365" t="s">
        <v>819</v>
      </c>
      <c r="K365" s="86" t="s">
        <v>782</v>
      </c>
    </row>
    <row r="366" spans="1:11" ht="12.5" customHeight="1">
      <c r="A366" s="95"/>
      <c r="B366" t="s">
        <v>779</v>
      </c>
      <c r="C366" t="s">
        <v>85</v>
      </c>
      <c r="D366" t="s">
        <v>103</v>
      </c>
      <c r="E366" s="78" t="s">
        <v>820</v>
      </c>
      <c r="F366" t="s">
        <v>821</v>
      </c>
      <c r="G366" s="25">
        <v>46145</v>
      </c>
      <c r="H366" t="s">
        <v>249</v>
      </c>
      <c r="I366" t="s">
        <v>34</v>
      </c>
      <c r="J366" t="s">
        <v>822</v>
      </c>
      <c r="K366" s="86" t="s">
        <v>782</v>
      </c>
    </row>
    <row r="367" spans="1:11" ht="12.5" customHeight="1">
      <c r="A367" s="95"/>
      <c r="B367" t="s">
        <v>779</v>
      </c>
      <c r="C367" t="s">
        <v>85</v>
      </c>
      <c r="D367" t="s">
        <v>108</v>
      </c>
      <c r="E367" s="78" t="s">
        <v>823</v>
      </c>
      <c r="F367" t="s">
        <v>824</v>
      </c>
      <c r="G367" s="25">
        <v>46145</v>
      </c>
      <c r="H367" t="s">
        <v>249</v>
      </c>
      <c r="I367" t="s">
        <v>17</v>
      </c>
      <c r="J367" t="s">
        <v>825</v>
      </c>
      <c r="K367" s="86" t="s">
        <v>782</v>
      </c>
    </row>
    <row r="368" spans="1:11" ht="12.5" customHeight="1">
      <c r="A368" s="95"/>
      <c r="B368" t="s">
        <v>779</v>
      </c>
      <c r="C368" t="s">
        <v>112</v>
      </c>
      <c r="D368" t="s">
        <v>113</v>
      </c>
      <c r="E368" s="78" t="s">
        <v>306</v>
      </c>
      <c r="F368" t="s">
        <v>826</v>
      </c>
      <c r="G368" s="25">
        <v>46145</v>
      </c>
      <c r="H368" t="s">
        <v>249</v>
      </c>
      <c r="I368" t="s">
        <v>17</v>
      </c>
      <c r="J368" t="s">
        <v>827</v>
      </c>
      <c r="K368" s="86" t="s">
        <v>796</v>
      </c>
    </row>
    <row r="369" spans="1:11" ht="12.5" customHeight="1">
      <c r="A369" s="95"/>
      <c r="B369" t="s">
        <v>779</v>
      </c>
      <c r="C369" t="s">
        <v>112</v>
      </c>
      <c r="D369" t="s">
        <v>118</v>
      </c>
      <c r="E369" s="78" t="s">
        <v>776</v>
      </c>
      <c r="F369" t="s">
        <v>828</v>
      </c>
      <c r="G369" s="25">
        <v>46145</v>
      </c>
      <c r="H369" t="s">
        <v>249</v>
      </c>
      <c r="I369" t="s">
        <v>17</v>
      </c>
      <c r="J369" t="s">
        <v>829</v>
      </c>
      <c r="K369" s="86" t="s">
        <v>796</v>
      </c>
    </row>
    <row r="370" spans="1:11" ht="12.5" customHeight="1">
      <c r="A370" s="93">
        <v>17</v>
      </c>
      <c r="B370" t="s">
        <v>830</v>
      </c>
      <c r="C370" t="s">
        <v>12</v>
      </c>
      <c r="D370" t="s">
        <v>13</v>
      </c>
      <c r="E370" s="78" t="s">
        <v>831</v>
      </c>
      <c r="F370" t="s">
        <v>832</v>
      </c>
      <c r="G370" s="25">
        <v>46145</v>
      </c>
      <c r="H370" t="s">
        <v>16</v>
      </c>
      <c r="I370" t="s">
        <v>17</v>
      </c>
      <c r="J370" t="s">
        <v>833</v>
      </c>
      <c r="K370" s="86" t="s">
        <v>834</v>
      </c>
    </row>
    <row r="371" spans="1:11" ht="12.5" customHeight="1">
      <c r="A371" s="95"/>
      <c r="B371" t="s">
        <v>830</v>
      </c>
      <c r="C371" t="s">
        <v>12</v>
      </c>
      <c r="D371" t="s">
        <v>20</v>
      </c>
      <c r="E371" s="78" t="s">
        <v>252</v>
      </c>
      <c r="F371" t="s">
        <v>835</v>
      </c>
      <c r="G371" s="25">
        <v>46145</v>
      </c>
      <c r="H371" t="s">
        <v>16</v>
      </c>
      <c r="I371" t="s">
        <v>34</v>
      </c>
      <c r="J371" t="s">
        <v>836</v>
      </c>
      <c r="K371" s="86" t="s">
        <v>834</v>
      </c>
    </row>
    <row r="372" spans="1:11" ht="12.5" customHeight="1">
      <c r="A372" s="95"/>
      <c r="B372" t="s">
        <v>830</v>
      </c>
      <c r="C372" t="s">
        <v>12</v>
      </c>
      <c r="D372" t="s">
        <v>25</v>
      </c>
      <c r="E372" s="78" t="s">
        <v>26</v>
      </c>
      <c r="F372" t="s">
        <v>925</v>
      </c>
      <c r="G372" s="25" t="s">
        <v>138</v>
      </c>
      <c r="H372" t="s">
        <v>837</v>
      </c>
      <c r="I372" t="s">
        <v>34</v>
      </c>
      <c r="J372" t="s">
        <v>838</v>
      </c>
      <c r="K372" s="86" t="s">
        <v>834</v>
      </c>
    </row>
    <row r="373" spans="1:11" ht="12.5" customHeight="1">
      <c r="A373" s="95"/>
      <c r="B373" t="s">
        <v>830</v>
      </c>
      <c r="C373" t="s">
        <v>30</v>
      </c>
      <c r="D373" t="s">
        <v>31</v>
      </c>
      <c r="E373" s="78" t="s">
        <v>32</v>
      </c>
      <c r="F373" t="s">
        <v>839</v>
      </c>
      <c r="G373" s="25">
        <v>46145</v>
      </c>
      <c r="H373" t="s">
        <v>16</v>
      </c>
      <c r="I373" t="s">
        <v>17</v>
      </c>
      <c r="J373" t="s">
        <v>840</v>
      </c>
      <c r="K373" s="86" t="s">
        <v>834</v>
      </c>
    </row>
    <row r="374" spans="1:11" ht="12.5" customHeight="1">
      <c r="A374" s="95"/>
      <c r="B374" t="s">
        <v>830</v>
      </c>
      <c r="C374" t="s">
        <v>30</v>
      </c>
      <c r="D374" t="s">
        <v>36</v>
      </c>
      <c r="E374" s="78" t="s">
        <v>135</v>
      </c>
      <c r="F374" t="s">
        <v>841</v>
      </c>
      <c r="G374" s="25">
        <v>46145</v>
      </c>
      <c r="H374" t="s">
        <v>16</v>
      </c>
      <c r="I374" t="s">
        <v>34</v>
      </c>
      <c r="J374" t="s">
        <v>842</v>
      </c>
      <c r="K374" s="86" t="s">
        <v>834</v>
      </c>
    </row>
    <row r="375" spans="1:11" ht="12.5" customHeight="1">
      <c r="A375" s="95"/>
      <c r="B375" t="s">
        <v>830</v>
      </c>
      <c r="C375" t="s">
        <v>30</v>
      </c>
      <c r="D375" t="s">
        <v>40</v>
      </c>
      <c r="E375" s="78" t="s">
        <v>843</v>
      </c>
      <c r="F375" t="s">
        <v>844</v>
      </c>
      <c r="G375" s="25">
        <v>46145</v>
      </c>
      <c r="H375" t="s">
        <v>16</v>
      </c>
      <c r="I375" t="s">
        <v>34</v>
      </c>
      <c r="J375" t="s">
        <v>845</v>
      </c>
      <c r="K375" s="86" t="s">
        <v>834</v>
      </c>
    </row>
    <row r="376" spans="1:11" ht="12.5" customHeight="1">
      <c r="A376" s="95"/>
      <c r="B376" t="s">
        <v>830</v>
      </c>
      <c r="C376" t="s">
        <v>30</v>
      </c>
      <c r="D376" t="s">
        <v>43</v>
      </c>
      <c r="E376" s="78" t="s">
        <v>44</v>
      </c>
      <c r="F376" t="s">
        <v>846</v>
      </c>
      <c r="G376" s="25">
        <v>46145</v>
      </c>
      <c r="H376" t="s">
        <v>16</v>
      </c>
      <c r="I376" t="s">
        <v>17</v>
      </c>
      <c r="J376" t="s">
        <v>847</v>
      </c>
      <c r="K376" s="86" t="s">
        <v>834</v>
      </c>
    </row>
    <row r="377" spans="1:11" ht="12.5" customHeight="1">
      <c r="A377" s="95"/>
      <c r="B377" t="s">
        <v>830</v>
      </c>
      <c r="C377" t="s">
        <v>30</v>
      </c>
      <c r="D377" t="s">
        <v>47</v>
      </c>
      <c r="E377" s="78" t="s">
        <v>848</v>
      </c>
      <c r="F377" t="s">
        <v>849</v>
      </c>
      <c r="G377" s="25">
        <v>46145</v>
      </c>
      <c r="H377" t="s">
        <v>16</v>
      </c>
      <c r="I377" t="s">
        <v>17</v>
      </c>
      <c r="J377" t="s">
        <v>850</v>
      </c>
      <c r="K377" s="86" t="s">
        <v>851</v>
      </c>
    </row>
    <row r="378" spans="1:11" ht="12.5" customHeight="1">
      <c r="A378" s="95"/>
      <c r="B378" t="s">
        <v>830</v>
      </c>
      <c r="C378" t="s">
        <v>30</v>
      </c>
      <c r="D378" t="s">
        <v>52</v>
      </c>
      <c r="E378" s="78" t="s">
        <v>53</v>
      </c>
      <c r="F378" t="s">
        <v>852</v>
      </c>
      <c r="G378" s="25">
        <v>46145</v>
      </c>
      <c r="H378" t="s">
        <v>16</v>
      </c>
      <c r="I378" t="s">
        <v>17</v>
      </c>
      <c r="J378" t="s">
        <v>853</v>
      </c>
      <c r="K378" s="86" t="s">
        <v>854</v>
      </c>
    </row>
    <row r="379" spans="1:11" ht="12.5" customHeight="1">
      <c r="A379" s="95"/>
      <c r="B379" t="s">
        <v>830</v>
      </c>
      <c r="C379" t="s">
        <v>30</v>
      </c>
      <c r="D379" t="s">
        <v>56</v>
      </c>
      <c r="E379" s="78" t="s">
        <v>855</v>
      </c>
      <c r="F379" t="s">
        <v>856</v>
      </c>
      <c r="G379" s="25">
        <v>46145</v>
      </c>
      <c r="H379" t="s">
        <v>16</v>
      </c>
      <c r="I379" t="s">
        <v>17</v>
      </c>
      <c r="J379" t="s">
        <v>857</v>
      </c>
      <c r="K379" s="86" t="s">
        <v>854</v>
      </c>
    </row>
    <row r="380" spans="1:11" ht="12.5" customHeight="1">
      <c r="A380" s="95"/>
      <c r="B380" t="s">
        <v>830</v>
      </c>
      <c r="C380" t="s">
        <v>30</v>
      </c>
      <c r="D380" t="s">
        <v>61</v>
      </c>
      <c r="E380" s="78" t="s">
        <v>62</v>
      </c>
      <c r="F380" t="s">
        <v>858</v>
      </c>
      <c r="G380" s="25">
        <v>46145</v>
      </c>
      <c r="H380" t="s">
        <v>16</v>
      </c>
      <c r="I380" t="s">
        <v>17</v>
      </c>
      <c r="J380" t="s">
        <v>859</v>
      </c>
      <c r="K380" s="86" t="s">
        <v>860</v>
      </c>
    </row>
    <row r="381" spans="1:11" ht="12.5" customHeight="1">
      <c r="A381" s="95"/>
      <c r="B381" t="s">
        <v>830</v>
      </c>
      <c r="C381" t="s">
        <v>65</v>
      </c>
      <c r="D381" t="s">
        <v>66</v>
      </c>
      <c r="E381" s="78" t="s">
        <v>67</v>
      </c>
      <c r="F381" t="s">
        <v>861</v>
      </c>
      <c r="G381" s="25">
        <v>46145</v>
      </c>
      <c r="H381" t="s">
        <v>16</v>
      </c>
      <c r="I381" t="s">
        <v>17</v>
      </c>
      <c r="J381" t="s">
        <v>862</v>
      </c>
      <c r="K381" s="86" t="s">
        <v>834</v>
      </c>
    </row>
    <row r="382" spans="1:11" ht="12.5" customHeight="1">
      <c r="A382" s="95"/>
      <c r="B382" t="s">
        <v>830</v>
      </c>
      <c r="C382" t="s">
        <v>65</v>
      </c>
      <c r="D382" t="s">
        <v>72</v>
      </c>
      <c r="E382" s="78" t="s">
        <v>157</v>
      </c>
      <c r="F382" t="s">
        <v>863</v>
      </c>
      <c r="G382" s="25">
        <v>46145</v>
      </c>
      <c r="H382" t="s">
        <v>16</v>
      </c>
      <c r="I382" t="s">
        <v>17</v>
      </c>
      <c r="J382" t="s">
        <v>864</v>
      </c>
      <c r="K382" s="86" t="s">
        <v>860</v>
      </c>
    </row>
    <row r="383" spans="1:11" ht="12.5" customHeight="1">
      <c r="A383" s="95"/>
      <c r="B383" t="s">
        <v>830</v>
      </c>
      <c r="C383" t="s">
        <v>65</v>
      </c>
      <c r="D383" t="s">
        <v>77</v>
      </c>
      <c r="E383" s="78" t="s">
        <v>78</v>
      </c>
      <c r="F383" t="s">
        <v>865</v>
      </c>
      <c r="G383" s="25">
        <v>46145</v>
      </c>
      <c r="H383" t="s">
        <v>16</v>
      </c>
      <c r="I383" t="s">
        <v>17</v>
      </c>
      <c r="J383" t="s">
        <v>866</v>
      </c>
      <c r="K383" s="86" t="s">
        <v>860</v>
      </c>
    </row>
    <row r="384" spans="1:11" ht="12.5" customHeight="1">
      <c r="A384" s="95"/>
      <c r="B384" t="s">
        <v>830</v>
      </c>
      <c r="C384" t="s">
        <v>65</v>
      </c>
      <c r="D384" t="s">
        <v>81</v>
      </c>
      <c r="E384" s="78" t="s">
        <v>82</v>
      </c>
      <c r="F384" t="s">
        <v>867</v>
      </c>
      <c r="G384" s="25">
        <v>46145</v>
      </c>
      <c r="H384" t="s">
        <v>16</v>
      </c>
      <c r="I384" t="s">
        <v>17</v>
      </c>
      <c r="J384" t="s">
        <v>868</v>
      </c>
      <c r="K384" s="86" t="s">
        <v>834</v>
      </c>
    </row>
    <row r="385" spans="1:11" ht="12.5" customHeight="1">
      <c r="A385" s="95"/>
      <c r="B385" t="s">
        <v>830</v>
      </c>
      <c r="C385" t="s">
        <v>85</v>
      </c>
      <c r="D385" t="s">
        <v>86</v>
      </c>
      <c r="E385" s="78" t="s">
        <v>869</v>
      </c>
      <c r="F385" t="s">
        <v>870</v>
      </c>
      <c r="G385" s="25">
        <v>46145</v>
      </c>
      <c r="H385" t="s">
        <v>16</v>
      </c>
      <c r="I385" t="s">
        <v>17</v>
      </c>
      <c r="J385" t="s">
        <v>871</v>
      </c>
      <c r="K385" s="86" t="s">
        <v>834</v>
      </c>
    </row>
    <row r="386" spans="1:11" ht="12.5" customHeight="1">
      <c r="A386" s="95"/>
      <c r="B386" t="s">
        <v>830</v>
      </c>
      <c r="C386" t="s">
        <v>65</v>
      </c>
      <c r="D386" t="s">
        <v>91</v>
      </c>
      <c r="E386" s="78" t="s">
        <v>92</v>
      </c>
      <c r="F386" t="s">
        <v>872</v>
      </c>
      <c r="G386" s="25">
        <v>46145</v>
      </c>
      <c r="H386" t="s">
        <v>16</v>
      </c>
      <c r="I386" t="s">
        <v>17</v>
      </c>
      <c r="J386" t="s">
        <v>873</v>
      </c>
      <c r="K386" s="86" t="s">
        <v>854</v>
      </c>
    </row>
    <row r="387" spans="1:11" ht="12.5" customHeight="1">
      <c r="A387" s="95"/>
      <c r="B387" t="s">
        <v>830</v>
      </c>
      <c r="C387" t="s">
        <v>65</v>
      </c>
      <c r="D387" t="s">
        <v>95</v>
      </c>
      <c r="E387" s="78" t="s">
        <v>96</v>
      </c>
      <c r="F387" t="s">
        <v>874</v>
      </c>
      <c r="G387" s="25">
        <v>46145</v>
      </c>
      <c r="H387" t="s">
        <v>16</v>
      </c>
      <c r="I387" t="s">
        <v>17</v>
      </c>
      <c r="J387" t="s">
        <v>875</v>
      </c>
      <c r="K387" s="86" t="s">
        <v>834</v>
      </c>
    </row>
    <row r="388" spans="1:11" ht="12.5" customHeight="1">
      <c r="A388" s="95"/>
      <c r="B388" t="s">
        <v>830</v>
      </c>
      <c r="C388" t="s">
        <v>65</v>
      </c>
      <c r="D388" t="s">
        <v>100</v>
      </c>
      <c r="E388" s="78" t="s">
        <v>171</v>
      </c>
      <c r="F388" t="s">
        <v>876</v>
      </c>
      <c r="G388" s="25">
        <v>46145</v>
      </c>
      <c r="H388" t="s">
        <v>16</v>
      </c>
      <c r="I388" t="s">
        <v>34</v>
      </c>
      <c r="J388" t="s">
        <v>877</v>
      </c>
      <c r="K388" s="86" t="s">
        <v>834</v>
      </c>
    </row>
    <row r="389" spans="1:11" ht="12.5" customHeight="1">
      <c r="A389" s="95"/>
      <c r="B389" t="s">
        <v>830</v>
      </c>
      <c r="C389" t="s">
        <v>85</v>
      </c>
      <c r="D389" t="s">
        <v>103</v>
      </c>
      <c r="E389" s="78" t="s">
        <v>878</v>
      </c>
      <c r="F389" t="s">
        <v>879</v>
      </c>
      <c r="G389" s="25">
        <v>46145</v>
      </c>
      <c r="H389" t="s">
        <v>16</v>
      </c>
      <c r="I389" t="s">
        <v>17</v>
      </c>
      <c r="J389" t="s">
        <v>880</v>
      </c>
      <c r="K389" s="86" t="s">
        <v>881</v>
      </c>
    </row>
    <row r="390" spans="1:11" ht="12.5" customHeight="1">
      <c r="A390" s="95"/>
      <c r="B390" t="s">
        <v>830</v>
      </c>
      <c r="C390" t="s">
        <v>85</v>
      </c>
      <c r="D390" t="s">
        <v>108</v>
      </c>
      <c r="E390" s="78" t="s">
        <v>882</v>
      </c>
      <c r="F390" t="s">
        <v>883</v>
      </c>
      <c r="G390" s="25">
        <v>46145</v>
      </c>
      <c r="H390" t="s">
        <v>16</v>
      </c>
      <c r="I390" t="s">
        <v>17</v>
      </c>
      <c r="J390" t="s">
        <v>884</v>
      </c>
      <c r="K390" s="86" t="s">
        <v>860</v>
      </c>
    </row>
    <row r="391" spans="1:11" ht="12.5" customHeight="1">
      <c r="A391" s="95"/>
      <c r="B391" t="s">
        <v>830</v>
      </c>
      <c r="C391" t="s">
        <v>112</v>
      </c>
      <c r="D391" t="s">
        <v>113</v>
      </c>
      <c r="E391" s="78" t="s">
        <v>885</v>
      </c>
      <c r="F391" t="s">
        <v>886</v>
      </c>
      <c r="G391" s="25">
        <v>46145</v>
      </c>
      <c r="H391" t="s">
        <v>16</v>
      </c>
      <c r="I391" t="s">
        <v>17</v>
      </c>
      <c r="J391" t="s">
        <v>887</v>
      </c>
      <c r="K391" s="86" t="s">
        <v>834</v>
      </c>
    </row>
    <row r="392" spans="1:11" ht="12.5" customHeight="1">
      <c r="A392" s="95"/>
      <c r="B392" t="s">
        <v>830</v>
      </c>
      <c r="C392" t="s">
        <v>112</v>
      </c>
      <c r="D392" t="s">
        <v>118</v>
      </c>
      <c r="E392" s="78" t="s">
        <v>243</v>
      </c>
      <c r="F392" t="s">
        <v>888</v>
      </c>
      <c r="G392" s="25">
        <v>46145</v>
      </c>
      <c r="H392" t="s">
        <v>16</v>
      </c>
      <c r="I392" t="s">
        <v>17</v>
      </c>
      <c r="J392" t="s">
        <v>889</v>
      </c>
      <c r="K392" s="86" t="s">
        <v>860</v>
      </c>
    </row>
    <row r="393" spans="1:11" ht="12.5" customHeight="1">
      <c r="A393" s="93">
        <v>18</v>
      </c>
      <c r="B393" t="s">
        <v>890</v>
      </c>
      <c r="C393" t="s">
        <v>12</v>
      </c>
      <c r="D393" t="s">
        <v>13</v>
      </c>
      <c r="E393" s="78" t="s">
        <v>831</v>
      </c>
      <c r="F393" t="s">
        <v>832</v>
      </c>
      <c r="G393" s="25">
        <v>46145</v>
      </c>
      <c r="H393" t="s">
        <v>16</v>
      </c>
      <c r="I393" t="s">
        <v>17</v>
      </c>
      <c r="J393" t="s">
        <v>891</v>
      </c>
      <c r="K393" s="86" t="s">
        <v>834</v>
      </c>
    </row>
    <row r="394" spans="1:11" ht="12.5" customHeight="1">
      <c r="A394" s="95"/>
      <c r="B394" t="s">
        <v>890</v>
      </c>
      <c r="C394" t="s">
        <v>12</v>
      </c>
      <c r="D394" t="s">
        <v>20</v>
      </c>
      <c r="E394" s="78" t="s">
        <v>252</v>
      </c>
      <c r="F394" t="s">
        <v>835</v>
      </c>
      <c r="G394" s="25">
        <v>46145</v>
      </c>
      <c r="H394" t="s">
        <v>16</v>
      </c>
      <c r="I394" t="s">
        <v>34</v>
      </c>
      <c r="J394" t="s">
        <v>836</v>
      </c>
      <c r="K394" s="86" t="s">
        <v>834</v>
      </c>
    </row>
    <row r="395" spans="1:11" ht="12.5" customHeight="1">
      <c r="A395" s="95"/>
      <c r="B395" t="s">
        <v>890</v>
      </c>
      <c r="C395" t="s">
        <v>12</v>
      </c>
      <c r="D395" t="s">
        <v>25</v>
      </c>
      <c r="E395" s="78" t="s">
        <v>26</v>
      </c>
      <c r="F395" t="s">
        <v>926</v>
      </c>
      <c r="G395" s="25" t="s">
        <v>138</v>
      </c>
      <c r="H395" t="s">
        <v>837</v>
      </c>
      <c r="I395" t="s">
        <v>34</v>
      </c>
      <c r="J395" t="s">
        <v>838</v>
      </c>
      <c r="K395" s="86" t="s">
        <v>834</v>
      </c>
    </row>
    <row r="396" spans="1:11" ht="12.5" customHeight="1">
      <c r="A396" s="95"/>
      <c r="B396" t="s">
        <v>890</v>
      </c>
      <c r="C396" t="s">
        <v>30</v>
      </c>
      <c r="D396" t="s">
        <v>31</v>
      </c>
      <c r="E396" s="78" t="s">
        <v>32</v>
      </c>
      <c r="F396" t="s">
        <v>839</v>
      </c>
      <c r="G396" s="25">
        <v>46145</v>
      </c>
      <c r="H396" t="s">
        <v>16</v>
      </c>
      <c r="I396" t="s">
        <v>17</v>
      </c>
      <c r="J396" t="s">
        <v>840</v>
      </c>
      <c r="K396" s="86" t="s">
        <v>834</v>
      </c>
    </row>
    <row r="397" spans="1:11" ht="12.5" customHeight="1">
      <c r="A397" s="95"/>
      <c r="B397" t="s">
        <v>890</v>
      </c>
      <c r="C397" t="s">
        <v>30</v>
      </c>
      <c r="D397" t="s">
        <v>36</v>
      </c>
      <c r="E397" s="78" t="s">
        <v>135</v>
      </c>
      <c r="F397" t="s">
        <v>841</v>
      </c>
      <c r="G397" s="25">
        <v>46145</v>
      </c>
      <c r="H397" t="s">
        <v>16</v>
      </c>
      <c r="I397" t="s">
        <v>34</v>
      </c>
      <c r="J397" t="s">
        <v>892</v>
      </c>
      <c r="K397" s="86" t="s">
        <v>834</v>
      </c>
    </row>
    <row r="398" spans="1:11" ht="12.5" customHeight="1">
      <c r="A398" s="95"/>
      <c r="B398" t="s">
        <v>890</v>
      </c>
      <c r="C398" t="s">
        <v>30</v>
      </c>
      <c r="D398" t="s">
        <v>40</v>
      </c>
      <c r="E398" s="78" t="s">
        <v>843</v>
      </c>
      <c r="F398" t="s">
        <v>893</v>
      </c>
      <c r="G398" s="25">
        <v>46145</v>
      </c>
      <c r="H398" t="s">
        <v>16</v>
      </c>
      <c r="I398" t="s">
        <v>34</v>
      </c>
      <c r="J398" t="s">
        <v>894</v>
      </c>
      <c r="K398" s="86" t="s">
        <v>834</v>
      </c>
    </row>
    <row r="399" spans="1:11" ht="12.5" customHeight="1">
      <c r="A399" s="95"/>
      <c r="B399" t="s">
        <v>890</v>
      </c>
      <c r="C399" t="s">
        <v>30</v>
      </c>
      <c r="D399" t="s">
        <v>43</v>
      </c>
      <c r="E399" s="78" t="s">
        <v>44</v>
      </c>
      <c r="F399" t="s">
        <v>846</v>
      </c>
      <c r="G399" s="25">
        <v>46145</v>
      </c>
      <c r="H399" t="s">
        <v>16</v>
      </c>
      <c r="I399" t="s">
        <v>17</v>
      </c>
      <c r="J399" t="s">
        <v>895</v>
      </c>
      <c r="K399" s="86" t="s">
        <v>834</v>
      </c>
    </row>
    <row r="400" spans="1:11" ht="12.5" customHeight="1">
      <c r="A400" s="95"/>
      <c r="B400" t="s">
        <v>890</v>
      </c>
      <c r="C400" t="s">
        <v>30</v>
      </c>
      <c r="D400" t="s">
        <v>47</v>
      </c>
      <c r="E400" s="78" t="s">
        <v>848</v>
      </c>
      <c r="F400" t="s">
        <v>896</v>
      </c>
      <c r="G400" s="25">
        <v>46145</v>
      </c>
      <c r="H400" t="s">
        <v>16</v>
      </c>
      <c r="I400" t="s">
        <v>17</v>
      </c>
      <c r="J400" t="s">
        <v>897</v>
      </c>
      <c r="K400" s="86" t="s">
        <v>834</v>
      </c>
    </row>
    <row r="401" spans="1:11" ht="12.5" customHeight="1">
      <c r="A401" s="95"/>
      <c r="B401" t="s">
        <v>890</v>
      </c>
      <c r="C401" t="s">
        <v>30</v>
      </c>
      <c r="D401" t="s">
        <v>52</v>
      </c>
      <c r="E401" s="78" t="s">
        <v>53</v>
      </c>
      <c r="F401" t="s">
        <v>898</v>
      </c>
      <c r="G401" s="25">
        <v>46145</v>
      </c>
      <c r="H401" t="s">
        <v>16</v>
      </c>
      <c r="I401" t="s">
        <v>17</v>
      </c>
      <c r="J401" t="s">
        <v>899</v>
      </c>
      <c r="K401" s="86" t="s">
        <v>900</v>
      </c>
    </row>
    <row r="402" spans="1:11" ht="12.5" customHeight="1">
      <c r="A402" s="95"/>
      <c r="B402" t="s">
        <v>890</v>
      </c>
      <c r="C402" t="s">
        <v>30</v>
      </c>
      <c r="D402" t="s">
        <v>56</v>
      </c>
      <c r="E402" s="78" t="s">
        <v>901</v>
      </c>
      <c r="F402" t="s">
        <v>856</v>
      </c>
      <c r="G402" s="25">
        <v>46145</v>
      </c>
      <c r="H402" t="s">
        <v>16</v>
      </c>
      <c r="I402" t="s">
        <v>17</v>
      </c>
      <c r="J402" t="s">
        <v>902</v>
      </c>
      <c r="K402" s="86" t="s">
        <v>900</v>
      </c>
    </row>
    <row r="403" spans="1:11" ht="12.5" customHeight="1">
      <c r="A403" s="95"/>
      <c r="B403" t="s">
        <v>890</v>
      </c>
      <c r="C403" t="s">
        <v>30</v>
      </c>
      <c r="D403" t="s">
        <v>61</v>
      </c>
      <c r="E403" s="78" t="s">
        <v>62</v>
      </c>
      <c r="F403" t="s">
        <v>858</v>
      </c>
      <c r="G403" s="25">
        <v>46145</v>
      </c>
      <c r="H403" t="s">
        <v>16</v>
      </c>
      <c r="I403" t="s">
        <v>17</v>
      </c>
      <c r="J403" t="s">
        <v>903</v>
      </c>
      <c r="K403" s="86" t="s">
        <v>860</v>
      </c>
    </row>
    <row r="404" spans="1:11" ht="12.5" customHeight="1">
      <c r="A404" s="95"/>
      <c r="B404" t="s">
        <v>890</v>
      </c>
      <c r="C404" t="s">
        <v>65</v>
      </c>
      <c r="D404" t="s">
        <v>66</v>
      </c>
      <c r="E404" s="78" t="s">
        <v>67</v>
      </c>
      <c r="F404" t="s">
        <v>861</v>
      </c>
      <c r="G404" s="25">
        <v>46145</v>
      </c>
      <c r="H404" t="s">
        <v>16</v>
      </c>
      <c r="I404" t="s">
        <v>17</v>
      </c>
      <c r="J404" t="s">
        <v>862</v>
      </c>
      <c r="K404" s="86" t="s">
        <v>834</v>
      </c>
    </row>
    <row r="405" spans="1:11" ht="12.5" customHeight="1">
      <c r="A405" s="95"/>
      <c r="B405" t="s">
        <v>890</v>
      </c>
      <c r="C405" t="s">
        <v>65</v>
      </c>
      <c r="D405" t="s">
        <v>72</v>
      </c>
      <c r="E405" s="78" t="s">
        <v>157</v>
      </c>
      <c r="F405" t="s">
        <v>863</v>
      </c>
      <c r="G405" s="25">
        <v>46145</v>
      </c>
      <c r="H405" t="s">
        <v>16</v>
      </c>
      <c r="I405" t="s">
        <v>17</v>
      </c>
      <c r="J405" t="s">
        <v>904</v>
      </c>
      <c r="K405" s="86" t="s">
        <v>860</v>
      </c>
    </row>
    <row r="406" spans="1:11" ht="12.5" customHeight="1">
      <c r="A406" s="95"/>
      <c r="B406" t="s">
        <v>890</v>
      </c>
      <c r="C406" t="s">
        <v>65</v>
      </c>
      <c r="D406" t="s">
        <v>77</v>
      </c>
      <c r="E406" s="78" t="s">
        <v>78</v>
      </c>
      <c r="F406" t="s">
        <v>865</v>
      </c>
      <c r="G406" s="25">
        <v>46145</v>
      </c>
      <c r="H406" t="s">
        <v>16</v>
      </c>
      <c r="I406" t="s">
        <v>17</v>
      </c>
      <c r="J406" t="s">
        <v>866</v>
      </c>
      <c r="K406" s="86" t="s">
        <v>860</v>
      </c>
    </row>
    <row r="407" spans="1:11" ht="12.5" customHeight="1">
      <c r="A407" s="95"/>
      <c r="B407" t="s">
        <v>890</v>
      </c>
      <c r="C407" t="s">
        <v>65</v>
      </c>
      <c r="D407" t="s">
        <v>81</v>
      </c>
      <c r="E407" s="78" t="s">
        <v>82</v>
      </c>
      <c r="F407" t="s">
        <v>905</v>
      </c>
      <c r="G407" s="25">
        <v>46145</v>
      </c>
      <c r="H407" t="s">
        <v>16</v>
      </c>
      <c r="I407" t="s">
        <v>17</v>
      </c>
      <c r="J407" t="s">
        <v>906</v>
      </c>
      <c r="K407" s="86" t="s">
        <v>834</v>
      </c>
    </row>
    <row r="408" spans="1:11" ht="12.5" customHeight="1">
      <c r="A408" s="95"/>
      <c r="B408" t="s">
        <v>890</v>
      </c>
      <c r="C408" t="s">
        <v>85</v>
      </c>
      <c r="D408" t="s">
        <v>86</v>
      </c>
      <c r="E408" s="78" t="s">
        <v>869</v>
      </c>
      <c r="F408" t="s">
        <v>907</v>
      </c>
      <c r="G408" s="25">
        <v>46145</v>
      </c>
      <c r="H408" t="s">
        <v>16</v>
      </c>
      <c r="I408" t="s">
        <v>17</v>
      </c>
      <c r="J408" t="s">
        <v>871</v>
      </c>
      <c r="K408" s="86" t="s">
        <v>834</v>
      </c>
    </row>
    <row r="409" spans="1:11" ht="12.5" customHeight="1">
      <c r="A409" s="95"/>
      <c r="B409" t="s">
        <v>890</v>
      </c>
      <c r="C409" t="s">
        <v>65</v>
      </c>
      <c r="D409" t="s">
        <v>91</v>
      </c>
      <c r="E409" s="78" t="s">
        <v>92</v>
      </c>
      <c r="F409" t="s">
        <v>908</v>
      </c>
      <c r="G409" s="25">
        <v>46145</v>
      </c>
      <c r="H409" t="s">
        <v>16</v>
      </c>
      <c r="I409" t="s">
        <v>17</v>
      </c>
      <c r="J409" t="s">
        <v>909</v>
      </c>
      <c r="K409" s="86" t="s">
        <v>910</v>
      </c>
    </row>
    <row r="410" spans="1:11" ht="12.5" customHeight="1">
      <c r="A410" s="95"/>
      <c r="B410" t="s">
        <v>890</v>
      </c>
      <c r="C410" t="s">
        <v>65</v>
      </c>
      <c r="D410" t="s">
        <v>95</v>
      </c>
      <c r="E410" s="78" t="s">
        <v>96</v>
      </c>
      <c r="F410" t="s">
        <v>911</v>
      </c>
      <c r="G410" s="25">
        <v>46145</v>
      </c>
      <c r="H410" t="s">
        <v>16</v>
      </c>
      <c r="I410" t="s">
        <v>17</v>
      </c>
      <c r="J410" t="s">
        <v>875</v>
      </c>
      <c r="K410" s="86" t="s">
        <v>834</v>
      </c>
    </row>
    <row r="411" spans="1:11" ht="12.5" customHeight="1">
      <c r="A411" s="95"/>
      <c r="B411" t="s">
        <v>890</v>
      </c>
      <c r="C411" t="s">
        <v>65</v>
      </c>
      <c r="D411" t="s">
        <v>100</v>
      </c>
      <c r="E411" s="78" t="s">
        <v>171</v>
      </c>
      <c r="F411" t="s">
        <v>912</v>
      </c>
      <c r="G411" s="25">
        <v>46145</v>
      </c>
      <c r="H411" t="s">
        <v>16</v>
      </c>
      <c r="I411" t="s">
        <v>34</v>
      </c>
      <c r="J411" t="s">
        <v>877</v>
      </c>
      <c r="K411" s="86" t="s">
        <v>834</v>
      </c>
    </row>
    <row r="412" spans="1:11" ht="12.5" customHeight="1">
      <c r="A412" s="95"/>
      <c r="B412" t="s">
        <v>890</v>
      </c>
      <c r="C412" t="s">
        <v>85</v>
      </c>
      <c r="D412" t="s">
        <v>103</v>
      </c>
      <c r="E412" s="78" t="s">
        <v>913</v>
      </c>
      <c r="F412" t="s">
        <v>914</v>
      </c>
      <c r="G412" s="25">
        <v>46145</v>
      </c>
      <c r="H412" t="s">
        <v>16</v>
      </c>
      <c r="I412" t="s">
        <v>17</v>
      </c>
      <c r="J412" t="s">
        <v>915</v>
      </c>
      <c r="K412" s="86" t="s">
        <v>881</v>
      </c>
    </row>
    <row r="413" spans="1:11" ht="12.5" customHeight="1">
      <c r="A413" s="95"/>
      <c r="B413" t="s">
        <v>890</v>
      </c>
      <c r="C413" t="s">
        <v>85</v>
      </c>
      <c r="D413" t="s">
        <v>108</v>
      </c>
      <c r="E413" s="78" t="s">
        <v>882</v>
      </c>
      <c r="F413" t="s">
        <v>883</v>
      </c>
      <c r="G413" s="25">
        <v>46145</v>
      </c>
      <c r="H413" t="s">
        <v>16</v>
      </c>
      <c r="I413" t="s">
        <v>17</v>
      </c>
      <c r="J413" t="s">
        <v>916</v>
      </c>
      <c r="K413" s="86" t="s">
        <v>860</v>
      </c>
    </row>
    <row r="414" spans="1:11" ht="12.5" customHeight="1">
      <c r="A414" s="95"/>
      <c r="B414" t="s">
        <v>890</v>
      </c>
      <c r="C414" t="s">
        <v>112</v>
      </c>
      <c r="D414" t="s">
        <v>113</v>
      </c>
      <c r="E414" s="78" t="s">
        <v>885</v>
      </c>
      <c r="F414" t="s">
        <v>886</v>
      </c>
      <c r="G414" s="25">
        <v>46145</v>
      </c>
      <c r="H414" t="s">
        <v>16</v>
      </c>
      <c r="I414" t="s">
        <v>17</v>
      </c>
      <c r="J414" t="s">
        <v>887</v>
      </c>
      <c r="K414" s="86" t="s">
        <v>834</v>
      </c>
    </row>
    <row r="415" spans="1:11" ht="12.5" customHeight="1">
      <c r="A415" s="95"/>
      <c r="B415" t="s">
        <v>890</v>
      </c>
      <c r="C415" t="s">
        <v>112</v>
      </c>
      <c r="D415" t="s">
        <v>118</v>
      </c>
      <c r="E415" s="78" t="s">
        <v>243</v>
      </c>
      <c r="F415" t="s">
        <v>888</v>
      </c>
      <c r="G415" s="25">
        <v>46145</v>
      </c>
      <c r="H415" t="s">
        <v>16</v>
      </c>
      <c r="I415" t="s">
        <v>17</v>
      </c>
      <c r="J415" t="s">
        <v>917</v>
      </c>
      <c r="K415" s="86" t="s">
        <v>860</v>
      </c>
    </row>
    <row r="416" spans="1:11" ht="12.5" customHeight="1">
      <c r="A416" s="93">
        <v>19</v>
      </c>
      <c r="B416" s="81" t="s">
        <v>1273</v>
      </c>
      <c r="C416" s="81" t="s">
        <v>12</v>
      </c>
      <c r="D416" s="81" t="s">
        <v>13</v>
      </c>
      <c r="E416" s="81" t="s">
        <v>247</v>
      </c>
      <c r="F416" s="81" t="s">
        <v>1555</v>
      </c>
      <c r="G416" s="89">
        <v>46154</v>
      </c>
      <c r="H416" s="81" t="s">
        <v>189</v>
      </c>
      <c r="I416" s="81" t="s">
        <v>17</v>
      </c>
      <c r="J416" s="81" t="s">
        <v>439</v>
      </c>
      <c r="K416" s="90" t="s">
        <v>1556</v>
      </c>
    </row>
    <row r="417" spans="1:11" ht="12.5" customHeight="1">
      <c r="A417" s="93"/>
      <c r="B417" s="81" t="s">
        <v>1273</v>
      </c>
      <c r="C417" s="81" t="s">
        <v>12</v>
      </c>
      <c r="D417" s="81" t="s">
        <v>20</v>
      </c>
      <c r="E417" s="81" t="s">
        <v>252</v>
      </c>
      <c r="F417" s="81" t="s">
        <v>1557</v>
      </c>
      <c r="G417" s="89">
        <v>46154</v>
      </c>
      <c r="H417" s="81" t="s">
        <v>16</v>
      </c>
      <c r="I417" s="81" t="s">
        <v>34</v>
      </c>
      <c r="J417" s="81" t="s">
        <v>1558</v>
      </c>
      <c r="K417" s="90" t="s">
        <v>1559</v>
      </c>
    </row>
    <row r="418" spans="1:11" ht="12.5" customHeight="1">
      <c r="A418" s="93"/>
      <c r="B418" s="81" t="s">
        <v>1273</v>
      </c>
      <c r="C418" s="81" t="s">
        <v>12</v>
      </c>
      <c r="D418" s="81" t="s">
        <v>25</v>
      </c>
      <c r="E418" s="81" t="s">
        <v>26</v>
      </c>
      <c r="F418" s="81" t="s">
        <v>1560</v>
      </c>
      <c r="G418" s="89">
        <v>46154</v>
      </c>
      <c r="H418" s="81" t="s">
        <v>16</v>
      </c>
      <c r="I418" s="81" t="s">
        <v>28</v>
      </c>
      <c r="J418" s="81" t="s">
        <v>1561</v>
      </c>
      <c r="K418" s="90" t="s">
        <v>1562</v>
      </c>
    </row>
    <row r="419" spans="1:11" ht="12.5" customHeight="1">
      <c r="A419" s="93"/>
      <c r="B419" s="81" t="s">
        <v>1273</v>
      </c>
      <c r="C419" s="81" t="s">
        <v>30</v>
      </c>
      <c r="D419" s="81" t="s">
        <v>31</v>
      </c>
      <c r="E419" s="81" t="s">
        <v>1563</v>
      </c>
      <c r="F419" s="81" t="s">
        <v>1564</v>
      </c>
      <c r="G419" s="89">
        <v>46154</v>
      </c>
      <c r="H419" s="81" t="s">
        <v>16</v>
      </c>
      <c r="I419" s="81" t="s">
        <v>17</v>
      </c>
      <c r="J419" s="81" t="s">
        <v>1565</v>
      </c>
      <c r="K419" s="90" t="s">
        <v>1562</v>
      </c>
    </row>
    <row r="420" spans="1:11" ht="12.5" customHeight="1">
      <c r="A420" s="93"/>
      <c r="B420" s="81" t="s">
        <v>1273</v>
      </c>
      <c r="C420" s="81" t="s">
        <v>30</v>
      </c>
      <c r="D420" s="81" t="s">
        <v>36</v>
      </c>
      <c r="E420" s="81" t="s">
        <v>135</v>
      </c>
      <c r="F420" s="81" t="s">
        <v>1566</v>
      </c>
      <c r="G420" s="89">
        <v>46154</v>
      </c>
      <c r="H420" s="81" t="s">
        <v>16</v>
      </c>
      <c r="I420" s="81" t="s">
        <v>34</v>
      </c>
      <c r="J420" s="81" t="s">
        <v>1567</v>
      </c>
      <c r="K420" s="90" t="s">
        <v>1559</v>
      </c>
    </row>
    <row r="421" spans="1:11" ht="12.5" customHeight="1">
      <c r="A421" s="93"/>
      <c r="B421" s="81" t="s">
        <v>1273</v>
      </c>
      <c r="C421" s="81" t="s">
        <v>30</v>
      </c>
      <c r="D421" s="81" t="s">
        <v>40</v>
      </c>
      <c r="E421" s="81" t="s">
        <v>26</v>
      </c>
      <c r="F421" s="81" t="s">
        <v>1568</v>
      </c>
      <c r="G421" s="89">
        <v>46154</v>
      </c>
      <c r="H421" s="81" t="s">
        <v>16</v>
      </c>
      <c r="I421" s="81" t="s">
        <v>28</v>
      </c>
      <c r="J421" s="81" t="s">
        <v>1569</v>
      </c>
      <c r="K421" s="90" t="s">
        <v>1562</v>
      </c>
    </row>
    <row r="422" spans="1:11" ht="12.5" customHeight="1">
      <c r="A422" s="93"/>
      <c r="B422" s="81" t="s">
        <v>1273</v>
      </c>
      <c r="C422" s="81" t="s">
        <v>30</v>
      </c>
      <c r="D422" s="81" t="s">
        <v>43</v>
      </c>
      <c r="E422" s="81" t="s">
        <v>44</v>
      </c>
      <c r="F422" s="81" t="s">
        <v>1570</v>
      </c>
      <c r="G422" s="89">
        <v>46154</v>
      </c>
      <c r="H422" s="81" t="s">
        <v>189</v>
      </c>
      <c r="I422" s="81" t="s">
        <v>34</v>
      </c>
      <c r="J422" s="81" t="s">
        <v>1571</v>
      </c>
      <c r="K422" s="90" t="s">
        <v>1556</v>
      </c>
    </row>
    <row r="423" spans="1:11" ht="12.5" customHeight="1">
      <c r="A423" s="93"/>
      <c r="B423" s="81" t="s">
        <v>1273</v>
      </c>
      <c r="C423" s="81" t="s">
        <v>30</v>
      </c>
      <c r="D423" s="81" t="s">
        <v>47</v>
      </c>
      <c r="E423" s="81" t="s">
        <v>948</v>
      </c>
      <c r="F423" s="81" t="s">
        <v>1572</v>
      </c>
      <c r="G423" s="89">
        <v>46154</v>
      </c>
      <c r="H423" s="81" t="s">
        <v>16</v>
      </c>
      <c r="I423" s="81" t="s">
        <v>34</v>
      </c>
      <c r="J423" s="81" t="s">
        <v>1573</v>
      </c>
      <c r="K423" s="90" t="s">
        <v>1562</v>
      </c>
    </row>
    <row r="424" spans="1:11" ht="12.5" customHeight="1">
      <c r="A424" s="93"/>
      <c r="B424" s="81" t="s">
        <v>1273</v>
      </c>
      <c r="C424" s="81" t="s">
        <v>30</v>
      </c>
      <c r="D424" s="81" t="s">
        <v>52</v>
      </c>
      <c r="E424" s="81" t="s">
        <v>1670</v>
      </c>
      <c r="F424" s="81" t="s">
        <v>1575</v>
      </c>
      <c r="G424" s="89">
        <v>46154</v>
      </c>
      <c r="H424" s="81" t="s">
        <v>16</v>
      </c>
      <c r="I424" s="81" t="s">
        <v>17</v>
      </c>
      <c r="J424" s="81" t="s">
        <v>1576</v>
      </c>
      <c r="K424" s="90" t="s">
        <v>1562</v>
      </c>
    </row>
    <row r="425" spans="1:11" ht="12.5" customHeight="1">
      <c r="A425" s="93"/>
      <c r="B425" s="81" t="s">
        <v>1273</v>
      </c>
      <c r="C425" s="81" t="s">
        <v>30</v>
      </c>
      <c r="D425" s="81" t="s">
        <v>56</v>
      </c>
      <c r="E425" s="81" t="s">
        <v>1577</v>
      </c>
      <c r="F425" s="81" t="s">
        <v>1578</v>
      </c>
      <c r="G425" s="89">
        <v>46154</v>
      </c>
      <c r="H425" s="81" t="s">
        <v>16</v>
      </c>
      <c r="I425" s="81" t="s">
        <v>34</v>
      </c>
      <c r="J425" s="81" t="s">
        <v>1579</v>
      </c>
      <c r="K425" s="90" t="s">
        <v>1562</v>
      </c>
    </row>
    <row r="426" spans="1:11" ht="12.5" customHeight="1">
      <c r="A426" s="93"/>
      <c r="B426" s="81" t="s">
        <v>1273</v>
      </c>
      <c r="C426" s="81" t="s">
        <v>30</v>
      </c>
      <c r="D426" s="81" t="s">
        <v>61</v>
      </c>
      <c r="E426" s="81" t="s">
        <v>26</v>
      </c>
      <c r="F426" s="81" t="s">
        <v>1580</v>
      </c>
      <c r="G426" s="89">
        <v>46154</v>
      </c>
      <c r="H426" s="81" t="s">
        <v>16</v>
      </c>
      <c r="I426" s="81" t="s">
        <v>28</v>
      </c>
      <c r="J426" s="81" t="s">
        <v>1581</v>
      </c>
      <c r="K426" s="90" t="s">
        <v>1562</v>
      </c>
    </row>
    <row r="427" spans="1:11" ht="12.5" customHeight="1">
      <c r="A427" s="93"/>
      <c r="B427" s="81" t="s">
        <v>1273</v>
      </c>
      <c r="C427" s="81" t="s">
        <v>65</v>
      </c>
      <c r="D427" s="81" t="s">
        <v>66</v>
      </c>
      <c r="E427" s="81" t="s">
        <v>26</v>
      </c>
      <c r="F427" s="81" t="s">
        <v>1582</v>
      </c>
      <c r="G427" s="89">
        <v>46154</v>
      </c>
      <c r="H427" s="81" t="s">
        <v>16</v>
      </c>
      <c r="I427" s="81" t="s">
        <v>28</v>
      </c>
      <c r="J427" s="81" t="s">
        <v>1583</v>
      </c>
      <c r="K427" s="90" t="s">
        <v>1562</v>
      </c>
    </row>
    <row r="428" spans="1:11" ht="12.5" customHeight="1">
      <c r="A428" s="93"/>
      <c r="B428" s="81" t="s">
        <v>1273</v>
      </c>
      <c r="C428" s="81" t="s">
        <v>65</v>
      </c>
      <c r="D428" s="81" t="s">
        <v>72</v>
      </c>
      <c r="E428" s="81" t="s">
        <v>26</v>
      </c>
      <c r="F428" s="81" t="s">
        <v>1584</v>
      </c>
      <c r="G428" s="89">
        <v>46154</v>
      </c>
      <c r="H428" s="81" t="s">
        <v>16</v>
      </c>
      <c r="I428" s="81" t="s">
        <v>28</v>
      </c>
      <c r="J428" s="81" t="s">
        <v>1585</v>
      </c>
      <c r="K428" s="90" t="s">
        <v>1562</v>
      </c>
    </row>
    <row r="429" spans="1:11" ht="12.5" customHeight="1">
      <c r="A429" s="93"/>
      <c r="B429" s="81" t="s">
        <v>1273</v>
      </c>
      <c r="C429" s="81" t="s">
        <v>65</v>
      </c>
      <c r="D429" s="81" t="s">
        <v>77</v>
      </c>
      <c r="E429" s="81" t="s">
        <v>26</v>
      </c>
      <c r="F429" s="81" t="s">
        <v>1586</v>
      </c>
      <c r="G429" s="89">
        <v>46154</v>
      </c>
      <c r="H429" s="81" t="s">
        <v>16</v>
      </c>
      <c r="I429" s="81" t="s">
        <v>28</v>
      </c>
      <c r="J429" s="81" t="s">
        <v>470</v>
      </c>
      <c r="K429" s="90" t="s">
        <v>1562</v>
      </c>
    </row>
    <row r="430" spans="1:11" ht="12.5" customHeight="1">
      <c r="A430" s="93"/>
      <c r="B430" s="81" t="s">
        <v>1273</v>
      </c>
      <c r="C430" s="81" t="s">
        <v>65</v>
      </c>
      <c r="D430" s="81" t="s">
        <v>81</v>
      </c>
      <c r="E430" s="81" t="s">
        <v>82</v>
      </c>
      <c r="F430" s="81" t="s">
        <v>1587</v>
      </c>
      <c r="G430" s="89">
        <v>46154</v>
      </c>
      <c r="H430" s="81" t="s">
        <v>16</v>
      </c>
      <c r="I430" s="81" t="s">
        <v>17</v>
      </c>
      <c r="J430" s="81" t="s">
        <v>1588</v>
      </c>
      <c r="K430" s="90" t="s">
        <v>1559</v>
      </c>
    </row>
    <row r="431" spans="1:11" ht="12.5" customHeight="1">
      <c r="A431" s="93"/>
      <c r="B431" s="81" t="s">
        <v>1273</v>
      </c>
      <c r="C431" s="81" t="s">
        <v>85</v>
      </c>
      <c r="D431" s="81" t="s">
        <v>86</v>
      </c>
      <c r="E431" s="81" t="s">
        <v>1589</v>
      </c>
      <c r="F431" s="81" t="s">
        <v>1590</v>
      </c>
      <c r="G431" s="89">
        <v>46154</v>
      </c>
      <c r="H431" s="81" t="s">
        <v>16</v>
      </c>
      <c r="I431" s="81" t="s">
        <v>17</v>
      </c>
      <c r="J431" s="81" t="s">
        <v>1591</v>
      </c>
      <c r="K431" s="90" t="s">
        <v>1562</v>
      </c>
    </row>
    <row r="432" spans="1:11" ht="12.5" customHeight="1">
      <c r="A432" s="93"/>
      <c r="B432" s="81" t="s">
        <v>1273</v>
      </c>
      <c r="C432" s="81" t="s">
        <v>65</v>
      </c>
      <c r="D432" s="81" t="s">
        <v>91</v>
      </c>
      <c r="E432" s="81" t="s">
        <v>1592</v>
      </c>
      <c r="F432" s="81" t="s">
        <v>1593</v>
      </c>
      <c r="G432" s="89">
        <v>46154</v>
      </c>
      <c r="H432" s="81" t="s">
        <v>16</v>
      </c>
      <c r="I432" s="81" t="s">
        <v>17</v>
      </c>
      <c r="J432" s="81" t="s">
        <v>1594</v>
      </c>
      <c r="K432" s="90" t="s">
        <v>1562</v>
      </c>
    </row>
    <row r="433" spans="1:11" ht="12.5" customHeight="1">
      <c r="A433" s="93"/>
      <c r="B433" s="81" t="s">
        <v>1273</v>
      </c>
      <c r="C433" s="81" t="s">
        <v>65</v>
      </c>
      <c r="D433" s="81" t="s">
        <v>95</v>
      </c>
      <c r="E433" s="81" t="s">
        <v>96</v>
      </c>
      <c r="F433" s="81" t="s">
        <v>1595</v>
      </c>
      <c r="G433" s="89">
        <v>46154</v>
      </c>
      <c r="H433" s="81" t="s">
        <v>1596</v>
      </c>
      <c r="I433" s="81" t="s">
        <v>34</v>
      </c>
      <c r="J433" s="81" t="s">
        <v>1597</v>
      </c>
      <c r="K433" s="90" t="s">
        <v>1598</v>
      </c>
    </row>
    <row r="434" spans="1:11" ht="12.5" customHeight="1">
      <c r="A434" s="93"/>
      <c r="B434" s="81" t="s">
        <v>1273</v>
      </c>
      <c r="C434" s="81" t="s">
        <v>65</v>
      </c>
      <c r="D434" s="81" t="s">
        <v>100</v>
      </c>
      <c r="E434" s="81" t="s">
        <v>171</v>
      </c>
      <c r="F434" s="81" t="s">
        <v>1599</v>
      </c>
      <c r="G434" s="89">
        <v>46154</v>
      </c>
      <c r="H434" s="81" t="s">
        <v>189</v>
      </c>
      <c r="I434" s="81" t="s">
        <v>34</v>
      </c>
      <c r="J434" s="81" t="s">
        <v>483</v>
      </c>
      <c r="K434" s="90" t="s">
        <v>1556</v>
      </c>
    </row>
    <row r="435" spans="1:11" ht="12.5" customHeight="1">
      <c r="A435" s="93"/>
      <c r="B435" s="81" t="s">
        <v>1273</v>
      </c>
      <c r="C435" s="81" t="s">
        <v>85</v>
      </c>
      <c r="D435" s="81" t="s">
        <v>103</v>
      </c>
      <c r="E435" s="81" t="s">
        <v>1600</v>
      </c>
      <c r="F435" s="81" t="s">
        <v>1601</v>
      </c>
      <c r="G435" s="89">
        <v>46154</v>
      </c>
      <c r="H435" s="81" t="s">
        <v>16</v>
      </c>
      <c r="I435" s="81" t="s">
        <v>34</v>
      </c>
      <c r="J435" s="81" t="s">
        <v>1602</v>
      </c>
      <c r="K435" s="90" t="s">
        <v>1559</v>
      </c>
    </row>
    <row r="436" spans="1:11" ht="12.5" customHeight="1">
      <c r="A436" s="93"/>
      <c r="B436" s="81" t="s">
        <v>1273</v>
      </c>
      <c r="C436" s="81" t="s">
        <v>85</v>
      </c>
      <c r="D436" s="81" t="s">
        <v>108</v>
      </c>
      <c r="E436" s="81" t="s">
        <v>1603</v>
      </c>
      <c r="F436" s="81" t="s">
        <v>1604</v>
      </c>
      <c r="G436" s="89">
        <v>46154</v>
      </c>
      <c r="H436" s="81" t="s">
        <v>16</v>
      </c>
      <c r="I436" s="81" t="s">
        <v>17</v>
      </c>
      <c r="J436" s="81" t="s">
        <v>1605</v>
      </c>
      <c r="K436" s="90" t="s">
        <v>1559</v>
      </c>
    </row>
    <row r="437" spans="1:11" ht="12.5" customHeight="1">
      <c r="A437" s="93"/>
      <c r="B437" s="81" t="s">
        <v>1273</v>
      </c>
      <c r="C437" s="81" t="s">
        <v>112</v>
      </c>
      <c r="D437" s="81" t="s">
        <v>113</v>
      </c>
      <c r="E437" s="81" t="s">
        <v>431</v>
      </c>
      <c r="F437" s="81" t="s">
        <v>1606</v>
      </c>
      <c r="G437" s="89">
        <v>46154</v>
      </c>
      <c r="H437" s="81" t="s">
        <v>16</v>
      </c>
      <c r="I437" s="81" t="s">
        <v>17</v>
      </c>
      <c r="J437" s="81" t="s">
        <v>1607</v>
      </c>
      <c r="K437" s="90" t="s">
        <v>1562</v>
      </c>
    </row>
    <row r="438" spans="1:11" ht="12.5" customHeight="1">
      <c r="A438" s="93"/>
      <c r="B438" s="81" t="s">
        <v>1273</v>
      </c>
      <c r="C438" s="81" t="s">
        <v>112</v>
      </c>
      <c r="D438" s="81" t="s">
        <v>118</v>
      </c>
      <c r="E438" s="81" t="s">
        <v>308</v>
      </c>
      <c r="F438" s="81" t="s">
        <v>1608</v>
      </c>
      <c r="G438" s="89">
        <v>46154</v>
      </c>
      <c r="H438" s="81" t="s">
        <v>16</v>
      </c>
      <c r="I438" s="81" t="s">
        <v>17</v>
      </c>
      <c r="J438" s="81" t="s">
        <v>1609</v>
      </c>
      <c r="K438" s="90" t="s">
        <v>1562</v>
      </c>
    </row>
    <row r="439" spans="1:11" ht="12.5" customHeight="1">
      <c r="A439" s="93">
        <v>20</v>
      </c>
      <c r="B439" s="81" t="s">
        <v>1278</v>
      </c>
      <c r="C439" s="81" t="s">
        <v>12</v>
      </c>
      <c r="D439" s="81" t="s">
        <v>13</v>
      </c>
      <c r="E439" s="81" t="s">
        <v>1610</v>
      </c>
      <c r="F439" s="81" t="s">
        <v>1611</v>
      </c>
      <c r="G439" s="89">
        <v>46154</v>
      </c>
      <c r="H439" s="81" t="s">
        <v>189</v>
      </c>
      <c r="I439" s="81" t="s">
        <v>17</v>
      </c>
      <c r="J439" s="81" t="s">
        <v>1612</v>
      </c>
      <c r="K439" s="90" t="s">
        <v>1613</v>
      </c>
    </row>
    <row r="440" spans="1:11" ht="12.5" customHeight="1">
      <c r="A440" s="93"/>
      <c r="B440" s="81" t="s">
        <v>1278</v>
      </c>
      <c r="C440" s="81" t="s">
        <v>12</v>
      </c>
      <c r="D440" s="81" t="s">
        <v>20</v>
      </c>
      <c r="E440" s="81" t="s">
        <v>1614</v>
      </c>
      <c r="F440" s="81" t="s">
        <v>1615</v>
      </c>
      <c r="G440" s="89">
        <v>46154</v>
      </c>
      <c r="H440" s="81" t="s">
        <v>189</v>
      </c>
      <c r="I440" s="81" t="s">
        <v>17</v>
      </c>
      <c r="J440" s="81" t="s">
        <v>1616</v>
      </c>
      <c r="K440" s="90" t="s">
        <v>1613</v>
      </c>
    </row>
    <row r="441" spans="1:11" ht="12.5" customHeight="1">
      <c r="A441" s="93"/>
      <c r="B441" s="81" t="s">
        <v>1278</v>
      </c>
      <c r="C441" s="81" t="s">
        <v>12</v>
      </c>
      <c r="D441" s="81" t="s">
        <v>25</v>
      </c>
      <c r="E441" s="81" t="s">
        <v>26</v>
      </c>
      <c r="F441" s="81" t="s">
        <v>1617</v>
      </c>
      <c r="G441" s="89">
        <v>46154</v>
      </c>
      <c r="H441" s="81" t="s">
        <v>16</v>
      </c>
      <c r="I441" s="81" t="s">
        <v>28</v>
      </c>
      <c r="J441" s="81" t="s">
        <v>29</v>
      </c>
      <c r="K441" s="90" t="s">
        <v>1618</v>
      </c>
    </row>
    <row r="442" spans="1:11" ht="12.5" customHeight="1">
      <c r="A442" s="93"/>
      <c r="B442" s="81" t="s">
        <v>1278</v>
      </c>
      <c r="C442" s="81" t="s">
        <v>30</v>
      </c>
      <c r="D442" s="81" t="s">
        <v>31</v>
      </c>
      <c r="E442" s="81" t="s">
        <v>26</v>
      </c>
      <c r="F442" s="81" t="s">
        <v>1619</v>
      </c>
      <c r="G442" s="89">
        <v>46154</v>
      </c>
      <c r="H442" s="81" t="s">
        <v>16</v>
      </c>
      <c r="I442" s="81" t="s">
        <v>28</v>
      </c>
      <c r="J442" s="81" t="s">
        <v>1620</v>
      </c>
      <c r="K442" s="90" t="s">
        <v>1621</v>
      </c>
    </row>
    <row r="443" spans="1:11" ht="12.5" customHeight="1">
      <c r="A443" s="93"/>
      <c r="B443" s="81" t="s">
        <v>1278</v>
      </c>
      <c r="C443" s="81" t="s">
        <v>30</v>
      </c>
      <c r="D443" s="81" t="s">
        <v>36</v>
      </c>
      <c r="E443" s="81" t="s">
        <v>672</v>
      </c>
      <c r="F443" s="81" t="s">
        <v>1622</v>
      </c>
      <c r="G443" s="89">
        <v>46154</v>
      </c>
      <c r="H443" s="81" t="s">
        <v>1623</v>
      </c>
      <c r="I443" s="81" t="s">
        <v>34</v>
      </c>
      <c r="J443" s="81" t="s">
        <v>1624</v>
      </c>
      <c r="K443" s="90" t="s">
        <v>1625</v>
      </c>
    </row>
    <row r="444" spans="1:11" ht="12.5" customHeight="1">
      <c r="A444" s="93"/>
      <c r="B444" s="81" t="s">
        <v>1278</v>
      </c>
      <c r="C444" s="81" t="s">
        <v>30</v>
      </c>
      <c r="D444" s="81" t="s">
        <v>40</v>
      </c>
      <c r="E444" s="81" t="s">
        <v>26</v>
      </c>
      <c r="F444" s="81" t="s">
        <v>1626</v>
      </c>
      <c r="G444" s="89">
        <v>46154</v>
      </c>
      <c r="H444" s="81" t="s">
        <v>16</v>
      </c>
      <c r="I444" s="81" t="s">
        <v>28</v>
      </c>
      <c r="J444" s="81" t="s">
        <v>42</v>
      </c>
      <c r="K444" s="90" t="s">
        <v>1613</v>
      </c>
    </row>
    <row r="445" spans="1:11" ht="12.5" customHeight="1">
      <c r="A445" s="93"/>
      <c r="B445" s="81" t="s">
        <v>1278</v>
      </c>
      <c r="C445" s="81" t="s">
        <v>30</v>
      </c>
      <c r="D445" s="81" t="s">
        <v>43</v>
      </c>
      <c r="E445" s="81" t="s">
        <v>1061</v>
      </c>
      <c r="F445" s="81" t="s">
        <v>1627</v>
      </c>
      <c r="G445" s="89">
        <v>46154</v>
      </c>
      <c r="H445" s="81" t="s">
        <v>189</v>
      </c>
      <c r="I445" s="81" t="s">
        <v>17</v>
      </c>
      <c r="J445" s="81" t="s">
        <v>1628</v>
      </c>
      <c r="K445" s="90" t="s">
        <v>1613</v>
      </c>
    </row>
    <row r="446" spans="1:11" ht="12.5" customHeight="1">
      <c r="A446" s="93"/>
      <c r="B446" s="81" t="s">
        <v>1278</v>
      </c>
      <c r="C446" s="81" t="s">
        <v>30</v>
      </c>
      <c r="D446" s="81" t="s">
        <v>47</v>
      </c>
      <c r="E446" s="81" t="s">
        <v>948</v>
      </c>
      <c r="F446" s="81" t="s">
        <v>1629</v>
      </c>
      <c r="G446" s="89">
        <v>46154</v>
      </c>
      <c r="H446" s="81" t="s">
        <v>189</v>
      </c>
      <c r="I446" s="81" t="s">
        <v>17</v>
      </c>
      <c r="J446" s="81" t="s">
        <v>1630</v>
      </c>
      <c r="K446" s="90" t="s">
        <v>1613</v>
      </c>
    </row>
    <row r="447" spans="1:11" ht="12.5" customHeight="1">
      <c r="A447" s="93"/>
      <c r="B447" s="81" t="s">
        <v>1278</v>
      </c>
      <c r="C447" s="81" t="s">
        <v>30</v>
      </c>
      <c r="D447" s="81" t="s">
        <v>52</v>
      </c>
      <c r="E447" s="81" t="s">
        <v>1574</v>
      </c>
      <c r="F447" s="81" t="s">
        <v>1631</v>
      </c>
      <c r="G447" s="89">
        <v>46154</v>
      </c>
      <c r="H447" s="81" t="s">
        <v>1623</v>
      </c>
      <c r="I447" s="81" t="s">
        <v>17</v>
      </c>
      <c r="J447" s="81" t="s">
        <v>1632</v>
      </c>
      <c r="K447" s="90" t="s">
        <v>1625</v>
      </c>
    </row>
    <row r="448" spans="1:11" ht="12.5" customHeight="1">
      <c r="A448" s="93"/>
      <c r="B448" s="81" t="s">
        <v>1278</v>
      </c>
      <c r="C448" s="81" t="s">
        <v>30</v>
      </c>
      <c r="D448" s="81" t="s">
        <v>56</v>
      </c>
      <c r="E448" s="81" t="s">
        <v>26</v>
      </c>
      <c r="F448" s="81" t="s">
        <v>1633</v>
      </c>
      <c r="G448" s="89">
        <v>46154</v>
      </c>
      <c r="H448" s="81" t="s">
        <v>16</v>
      </c>
      <c r="I448" s="81" t="s">
        <v>28</v>
      </c>
      <c r="J448" s="81" t="s">
        <v>1634</v>
      </c>
      <c r="K448" s="90" t="s">
        <v>1635</v>
      </c>
    </row>
    <row r="449" spans="1:11" ht="12.5" customHeight="1">
      <c r="A449" s="93"/>
      <c r="B449" s="81" t="s">
        <v>1278</v>
      </c>
      <c r="C449" s="81" t="s">
        <v>30</v>
      </c>
      <c r="D449" s="81" t="s">
        <v>61</v>
      </c>
      <c r="E449" s="81" t="s">
        <v>62</v>
      </c>
      <c r="F449" s="81" t="s">
        <v>1636</v>
      </c>
      <c r="G449" s="89">
        <v>46154</v>
      </c>
      <c r="H449" s="81" t="s">
        <v>16</v>
      </c>
      <c r="I449" s="81" t="s">
        <v>17</v>
      </c>
      <c r="J449" s="81" t="s">
        <v>1637</v>
      </c>
      <c r="K449" s="90" t="s">
        <v>1638</v>
      </c>
    </row>
    <row r="450" spans="1:11" ht="12.5" customHeight="1">
      <c r="A450" s="93"/>
      <c r="B450" s="81" t="s">
        <v>1278</v>
      </c>
      <c r="C450" s="81" t="s">
        <v>65</v>
      </c>
      <c r="D450" s="81" t="s">
        <v>66</v>
      </c>
      <c r="E450" s="81" t="s">
        <v>67</v>
      </c>
      <c r="F450" s="81" t="s">
        <v>1639</v>
      </c>
      <c r="G450" s="89">
        <v>46154</v>
      </c>
      <c r="H450" s="81" t="s">
        <v>69</v>
      </c>
      <c r="I450" s="81" t="s">
        <v>17</v>
      </c>
      <c r="J450" s="81" t="s">
        <v>1640</v>
      </c>
      <c r="K450" s="90" t="s">
        <v>1641</v>
      </c>
    </row>
    <row r="451" spans="1:11" ht="12.5" customHeight="1">
      <c r="A451" s="93"/>
      <c r="B451" s="81" t="s">
        <v>1278</v>
      </c>
      <c r="C451" s="81" t="s">
        <v>65</v>
      </c>
      <c r="D451" s="81" t="s">
        <v>72</v>
      </c>
      <c r="E451" s="81" t="s">
        <v>26</v>
      </c>
      <c r="F451" s="81" t="s">
        <v>1642</v>
      </c>
      <c r="G451" s="89">
        <v>46154</v>
      </c>
      <c r="H451" s="81" t="s">
        <v>189</v>
      </c>
      <c r="I451" s="81" t="s">
        <v>28</v>
      </c>
      <c r="J451" s="81" t="s">
        <v>1643</v>
      </c>
      <c r="K451" s="90" t="s">
        <v>1613</v>
      </c>
    </row>
    <row r="452" spans="1:11" ht="12.5" customHeight="1">
      <c r="A452" s="93"/>
      <c r="B452" s="81" t="s">
        <v>1278</v>
      </c>
      <c r="C452" s="81" t="s">
        <v>65</v>
      </c>
      <c r="D452" s="81" t="s">
        <v>77</v>
      </c>
      <c r="E452" s="81" t="s">
        <v>26</v>
      </c>
      <c r="F452" s="81" t="s">
        <v>1644</v>
      </c>
      <c r="G452" s="89">
        <v>46154</v>
      </c>
      <c r="H452" s="81" t="s">
        <v>16</v>
      </c>
      <c r="I452" s="81" t="s">
        <v>28</v>
      </c>
      <c r="J452" s="81" t="s">
        <v>532</v>
      </c>
      <c r="K452" s="90" t="s">
        <v>1613</v>
      </c>
    </row>
    <row r="453" spans="1:11" ht="12.5" customHeight="1">
      <c r="A453" s="93"/>
      <c r="B453" s="81" t="s">
        <v>1278</v>
      </c>
      <c r="C453" s="81" t="s">
        <v>65</v>
      </c>
      <c r="D453" s="81" t="s">
        <v>81</v>
      </c>
      <c r="E453" s="81" t="s">
        <v>82</v>
      </c>
      <c r="F453" s="81" t="s">
        <v>1645</v>
      </c>
      <c r="G453" s="89">
        <v>46154</v>
      </c>
      <c r="H453" s="81" t="s">
        <v>16</v>
      </c>
      <c r="I453" s="81" t="s">
        <v>34</v>
      </c>
      <c r="J453" s="81" t="s">
        <v>1646</v>
      </c>
      <c r="K453" s="90" t="s">
        <v>1647</v>
      </c>
    </row>
    <row r="454" spans="1:11" ht="12.5" customHeight="1">
      <c r="A454" s="93"/>
      <c r="B454" s="81" t="s">
        <v>1278</v>
      </c>
      <c r="C454" s="81" t="s">
        <v>85</v>
      </c>
      <c r="D454" s="81" t="s">
        <v>86</v>
      </c>
      <c r="E454" s="81" t="s">
        <v>473</v>
      </c>
      <c r="F454" s="81" t="s">
        <v>1648</v>
      </c>
      <c r="G454" s="89">
        <v>46154</v>
      </c>
      <c r="H454" s="81" t="s">
        <v>16</v>
      </c>
      <c r="I454" s="81" t="s">
        <v>17</v>
      </c>
      <c r="J454" s="81" t="s">
        <v>1649</v>
      </c>
      <c r="K454" s="90" t="s">
        <v>1638</v>
      </c>
    </row>
    <row r="455" spans="1:11" ht="12.5" customHeight="1">
      <c r="A455" s="93"/>
      <c r="B455" s="81" t="s">
        <v>1278</v>
      </c>
      <c r="C455" s="81" t="s">
        <v>65</v>
      </c>
      <c r="D455" s="81" t="s">
        <v>91</v>
      </c>
      <c r="E455" s="81" t="s">
        <v>1671</v>
      </c>
      <c r="F455" s="81" t="s">
        <v>1650</v>
      </c>
      <c r="G455" s="89">
        <v>46154</v>
      </c>
      <c r="H455" s="81" t="s">
        <v>16</v>
      </c>
      <c r="I455" s="81" t="s">
        <v>28</v>
      </c>
      <c r="J455" s="81" t="s">
        <v>1651</v>
      </c>
      <c r="K455" s="90" t="s">
        <v>1613</v>
      </c>
    </row>
    <row r="456" spans="1:11" ht="12.5" customHeight="1">
      <c r="A456" s="93"/>
      <c r="B456" s="81" t="s">
        <v>1278</v>
      </c>
      <c r="C456" s="81" t="s">
        <v>65</v>
      </c>
      <c r="D456" s="81" t="s">
        <v>95</v>
      </c>
      <c r="E456" s="81" t="s">
        <v>96</v>
      </c>
      <c r="F456" s="81" t="s">
        <v>1652</v>
      </c>
      <c r="G456" s="89">
        <v>46154</v>
      </c>
      <c r="H456" s="81" t="s">
        <v>16</v>
      </c>
      <c r="I456" s="81" t="s">
        <v>34</v>
      </c>
      <c r="J456" s="81" t="s">
        <v>1653</v>
      </c>
      <c r="K456" s="90" t="s">
        <v>1654</v>
      </c>
    </row>
    <row r="457" spans="1:11" ht="12.5" customHeight="1">
      <c r="A457" s="93"/>
      <c r="B457" s="81" t="s">
        <v>1278</v>
      </c>
      <c r="C457" s="81" t="s">
        <v>65</v>
      </c>
      <c r="D457" s="81" t="s">
        <v>100</v>
      </c>
      <c r="E457" s="81" t="s">
        <v>26</v>
      </c>
      <c r="F457" s="81" t="s">
        <v>1655</v>
      </c>
      <c r="G457" s="89">
        <v>46154</v>
      </c>
      <c r="H457" s="81" t="s">
        <v>16</v>
      </c>
      <c r="I457" s="81" t="s">
        <v>28</v>
      </c>
      <c r="J457" s="81" t="s">
        <v>1656</v>
      </c>
      <c r="K457" s="90" t="s">
        <v>1638</v>
      </c>
    </row>
    <row r="458" spans="1:11" ht="12.5" customHeight="1">
      <c r="A458" s="93"/>
      <c r="B458" s="81" t="s">
        <v>1278</v>
      </c>
      <c r="C458" s="81" t="s">
        <v>85</v>
      </c>
      <c r="D458" s="81" t="s">
        <v>103</v>
      </c>
      <c r="E458" s="81" t="s">
        <v>1657</v>
      </c>
      <c r="F458" s="81" t="s">
        <v>1658</v>
      </c>
      <c r="G458" s="89">
        <v>46154</v>
      </c>
      <c r="H458" s="81" t="s">
        <v>16</v>
      </c>
      <c r="I458" s="81" t="s">
        <v>34</v>
      </c>
      <c r="J458" s="81" t="s">
        <v>1659</v>
      </c>
      <c r="K458" s="91" t="s">
        <v>1660</v>
      </c>
    </row>
    <row r="459" spans="1:11" ht="12.5" customHeight="1">
      <c r="A459" s="93"/>
      <c r="B459" s="81" t="s">
        <v>1278</v>
      </c>
      <c r="C459" s="81" t="s">
        <v>85</v>
      </c>
      <c r="D459" s="81" t="s">
        <v>108</v>
      </c>
      <c r="E459" s="81" t="s">
        <v>1661</v>
      </c>
      <c r="F459" s="81" t="s">
        <v>1662</v>
      </c>
      <c r="G459" s="89">
        <v>46154</v>
      </c>
      <c r="H459" s="81" t="s">
        <v>16</v>
      </c>
      <c r="I459" s="81" t="s">
        <v>17</v>
      </c>
      <c r="J459" s="81" t="s">
        <v>1663</v>
      </c>
      <c r="K459" s="90" t="s">
        <v>1638</v>
      </c>
    </row>
    <row r="460" spans="1:11" ht="12.5" customHeight="1">
      <c r="A460" s="93"/>
      <c r="B460" s="81" t="s">
        <v>1278</v>
      </c>
      <c r="C460" s="81" t="s">
        <v>112</v>
      </c>
      <c r="D460" s="81" t="s">
        <v>113</v>
      </c>
      <c r="E460" s="81" t="s">
        <v>1664</v>
      </c>
      <c r="F460" s="81" t="s">
        <v>1665</v>
      </c>
      <c r="G460" s="89">
        <v>46154</v>
      </c>
      <c r="H460" s="81" t="s">
        <v>189</v>
      </c>
      <c r="I460" s="81" t="s">
        <v>34</v>
      </c>
      <c r="J460" s="81" t="s">
        <v>1666</v>
      </c>
      <c r="K460" s="90" t="s">
        <v>1613</v>
      </c>
    </row>
    <row r="461" spans="1:11" ht="12.5" customHeight="1">
      <c r="A461" s="93"/>
      <c r="B461" s="81" t="s">
        <v>1278</v>
      </c>
      <c r="C461" s="81" t="s">
        <v>112</v>
      </c>
      <c r="D461" s="81" t="s">
        <v>118</v>
      </c>
      <c r="E461" s="81" t="s">
        <v>183</v>
      </c>
      <c r="F461" s="81" t="s">
        <v>1667</v>
      </c>
      <c r="G461" s="89">
        <v>46154</v>
      </c>
      <c r="H461" s="81" t="s">
        <v>1669</v>
      </c>
      <c r="I461" s="81" t="s">
        <v>17</v>
      </c>
      <c r="J461" s="81" t="s">
        <v>1668</v>
      </c>
      <c r="K461" s="90" t="s">
        <v>1625</v>
      </c>
    </row>
    <row r="462" spans="1:11" ht="12.5" customHeight="1"/>
    <row r="463" spans="1:11" ht="12.5" customHeight="1"/>
    <row r="464" spans="1:11" ht="12.5" customHeight="1"/>
    <row r="465" ht="12.5" customHeight="1"/>
    <row r="466" ht="12.5" customHeight="1"/>
    <row r="467" ht="12.5" customHeight="1"/>
    <row r="468" ht="12.5" customHeight="1"/>
    <row r="469" ht="12.5" customHeight="1"/>
    <row r="470" ht="12.5" customHeight="1"/>
    <row r="471" ht="12.5" customHeight="1"/>
    <row r="472" ht="12.5" customHeight="1"/>
    <row r="473" ht="12.5" customHeight="1"/>
    <row r="474" ht="12.5" customHeight="1"/>
    <row r="475" ht="12.5" customHeight="1"/>
    <row r="476" ht="12.5" customHeight="1"/>
    <row r="477" ht="12.5" customHeight="1"/>
    <row r="478" ht="12.5" customHeight="1"/>
    <row r="479" ht="12.5" customHeight="1"/>
    <row r="480" ht="12.5" customHeight="1"/>
    <row r="481" ht="12.5" customHeight="1"/>
    <row r="482" ht="12.5" customHeight="1"/>
    <row r="483" ht="12.5" customHeight="1"/>
    <row r="484" ht="12.5" customHeight="1"/>
    <row r="485" ht="12.5" customHeight="1"/>
    <row r="486" ht="12.5" customHeight="1"/>
    <row r="487" ht="12.5" customHeight="1"/>
    <row r="488" ht="12.5" customHeight="1"/>
    <row r="489" ht="12.5" customHeight="1"/>
    <row r="490" ht="12.5" customHeight="1"/>
    <row r="491" ht="12.5" customHeight="1"/>
    <row r="492" ht="12.5" customHeight="1"/>
    <row r="493" ht="12.5" customHeight="1"/>
    <row r="494" ht="12.5" customHeight="1"/>
    <row r="495" ht="12.5" customHeight="1"/>
    <row r="496" ht="12.5" customHeight="1"/>
    <row r="497" ht="12.5" customHeight="1"/>
    <row r="498" ht="12.5" customHeight="1"/>
    <row r="499" ht="12.5" customHeight="1"/>
    <row r="500" ht="12.5" customHeight="1"/>
    <row r="501" ht="12.5" customHeight="1"/>
    <row r="502" ht="12.5" customHeight="1"/>
    <row r="503" ht="12.5" customHeight="1"/>
    <row r="504" ht="12.5" customHeight="1"/>
    <row r="505" ht="12.5" customHeight="1"/>
    <row r="506" ht="12.5" customHeight="1"/>
    <row r="507" ht="12.5" customHeight="1"/>
    <row r="508" ht="12.5" customHeight="1"/>
    <row r="509" ht="12.5" customHeight="1"/>
    <row r="510" ht="12.5" customHeight="1"/>
    <row r="511" ht="12.5" customHeight="1"/>
    <row r="512" ht="12.5" customHeight="1"/>
    <row r="513" ht="12.5" customHeight="1"/>
    <row r="514" ht="12.5" customHeight="1"/>
    <row r="515" ht="12.5" customHeight="1"/>
    <row r="516" ht="12.5" customHeight="1"/>
    <row r="517" ht="12.5" customHeight="1"/>
    <row r="518" ht="12.5" customHeight="1"/>
    <row r="519" ht="12.5" customHeight="1"/>
    <row r="520" ht="12.5" customHeight="1"/>
    <row r="521" ht="12.5" customHeight="1"/>
    <row r="522" ht="12.5" customHeight="1"/>
    <row r="523" ht="12.5" customHeight="1"/>
    <row r="524" ht="12.5" customHeight="1"/>
    <row r="525" ht="12.5" customHeight="1"/>
    <row r="526" ht="12.5" customHeight="1"/>
    <row r="527" ht="12.5" customHeight="1"/>
    <row r="528" ht="12.5" customHeight="1"/>
    <row r="529" ht="12.5" customHeight="1"/>
    <row r="530" ht="12.5" customHeight="1"/>
    <row r="531" ht="12.5" customHeight="1"/>
    <row r="532" ht="12.5" customHeight="1"/>
    <row r="533" ht="12.5" customHeight="1"/>
    <row r="534" ht="12.5" customHeight="1"/>
    <row r="535" ht="12.5" customHeight="1"/>
    <row r="536" ht="12.5" customHeight="1"/>
    <row r="537" ht="12.5" customHeight="1"/>
    <row r="538" ht="12.5" customHeight="1"/>
    <row r="539" ht="12.5" customHeight="1"/>
    <row r="540" ht="12.5" customHeight="1"/>
    <row r="541" ht="12.5" customHeight="1"/>
    <row r="542" ht="12.5" customHeight="1"/>
    <row r="543" ht="12.5" customHeight="1"/>
    <row r="544" ht="12.5" customHeight="1"/>
    <row r="545" ht="12.5" customHeight="1"/>
    <row r="546" ht="12.5" customHeight="1"/>
    <row r="547" ht="12.5" customHeight="1"/>
    <row r="548" ht="12.5" customHeight="1"/>
    <row r="549" ht="12.5" customHeight="1"/>
    <row r="550" ht="12.5" customHeight="1"/>
    <row r="551" ht="12.5" customHeight="1"/>
    <row r="552" ht="12.5" customHeight="1"/>
    <row r="553" ht="12.5" customHeight="1"/>
    <row r="554" ht="12.5" customHeight="1"/>
    <row r="555" ht="12.5" customHeight="1"/>
    <row r="556" ht="12.5" customHeight="1"/>
    <row r="557" ht="12.5" customHeight="1"/>
    <row r="558" ht="12.5" customHeight="1"/>
    <row r="559" ht="12.5" customHeight="1"/>
    <row r="560" ht="12.5" customHeight="1"/>
    <row r="561" ht="12.5" customHeight="1"/>
    <row r="562" ht="12.5" customHeight="1"/>
    <row r="563" ht="12.5" customHeight="1"/>
    <row r="564" ht="12.5" customHeight="1"/>
    <row r="565" ht="12.5" customHeight="1"/>
    <row r="566" ht="12.5" customHeight="1"/>
    <row r="567" ht="12.5" customHeight="1"/>
    <row r="568" ht="12.5" customHeight="1"/>
    <row r="569" ht="12.5" customHeight="1"/>
    <row r="570" ht="12.5" customHeight="1"/>
    <row r="571" ht="12.5" customHeight="1"/>
    <row r="572" ht="12.5" customHeight="1"/>
    <row r="573" ht="12.5" customHeight="1"/>
    <row r="574" ht="12.5" customHeight="1"/>
    <row r="575" ht="12.5" customHeight="1"/>
    <row r="576" ht="12.5" customHeight="1"/>
    <row r="577" ht="12.5" customHeight="1"/>
    <row r="578" ht="12.5" customHeight="1"/>
    <row r="579" ht="12.5" customHeight="1"/>
    <row r="580" ht="12.5" customHeight="1"/>
    <row r="581" ht="12.5" customHeight="1"/>
    <row r="582" ht="12.5" customHeight="1"/>
    <row r="583" ht="12.5" customHeight="1"/>
    <row r="584" ht="12.5" customHeight="1"/>
    <row r="585" ht="12.5" customHeight="1"/>
    <row r="586" ht="12.5" customHeight="1"/>
    <row r="587" ht="12.5" customHeight="1"/>
    <row r="588" ht="12.5" customHeight="1"/>
    <row r="589" ht="12.5" customHeight="1"/>
    <row r="590" ht="12.5" customHeight="1"/>
    <row r="591" ht="12.5" customHeight="1"/>
    <row r="592" ht="12.5" customHeight="1"/>
    <row r="593" ht="12.5" customHeight="1"/>
    <row r="594" ht="12.5" customHeight="1"/>
    <row r="595" ht="12.5" customHeight="1"/>
    <row r="596" ht="12.5" customHeight="1"/>
    <row r="597" ht="12.5" customHeight="1"/>
    <row r="598" ht="12.5" customHeight="1"/>
    <row r="599" ht="12.5" customHeight="1"/>
    <row r="600" ht="12.5" customHeight="1"/>
    <row r="601" ht="12.5" customHeight="1"/>
    <row r="602" ht="12.5" customHeight="1"/>
    <row r="603" ht="12.5" customHeight="1"/>
    <row r="604" ht="12.5" customHeight="1"/>
    <row r="605" ht="12.5" customHeight="1"/>
    <row r="606" ht="12.5" customHeight="1"/>
    <row r="607" ht="12.5" customHeight="1"/>
    <row r="608" ht="12.5" customHeight="1"/>
    <row r="609" ht="12.5" customHeight="1"/>
    <row r="610" ht="12.5" customHeight="1"/>
    <row r="611" ht="12.5" customHeight="1"/>
    <row r="612" ht="12.5" customHeight="1"/>
    <row r="613" ht="12.5" customHeight="1"/>
    <row r="614" ht="12.5" customHeight="1"/>
    <row r="615" ht="12.5" customHeight="1"/>
    <row r="616" ht="12.5" customHeight="1"/>
    <row r="617" ht="12.5" customHeight="1"/>
    <row r="618" ht="12.5" customHeight="1"/>
    <row r="619" ht="12.5" customHeight="1"/>
    <row r="620" ht="12.5" customHeight="1"/>
    <row r="621" ht="12.5" customHeight="1"/>
    <row r="622" ht="12.5" customHeight="1"/>
    <row r="623" ht="12.5" customHeight="1"/>
    <row r="624" ht="12.5" customHeight="1"/>
    <row r="625" ht="12.5" customHeight="1"/>
    <row r="626" ht="12.5" customHeight="1"/>
    <row r="627" ht="12.5" customHeight="1"/>
    <row r="628" ht="12.5" customHeight="1"/>
    <row r="629" ht="12.5" customHeight="1"/>
    <row r="630" ht="12.5" customHeight="1"/>
    <row r="631" ht="12.5" customHeight="1"/>
    <row r="632" ht="12.5" customHeight="1"/>
    <row r="633" ht="12.5" customHeight="1"/>
    <row r="634" ht="12.5" customHeight="1"/>
    <row r="635" ht="12.5" customHeight="1"/>
    <row r="636" ht="12.5" customHeight="1"/>
    <row r="637" ht="12.5" customHeight="1"/>
    <row r="638" ht="12.5" customHeight="1"/>
    <row r="639" ht="12.5" customHeight="1"/>
    <row r="640" ht="12.5" customHeight="1"/>
    <row r="641" ht="12.5" customHeight="1"/>
    <row r="642" ht="12.5" customHeight="1"/>
    <row r="643" ht="12.5" customHeight="1"/>
    <row r="644" ht="12.5" customHeight="1"/>
    <row r="645" ht="12.5" customHeight="1"/>
    <row r="646" ht="12.5" customHeight="1"/>
    <row r="647" ht="12.5" customHeight="1"/>
    <row r="648" ht="12.5" customHeight="1"/>
    <row r="649" ht="12.5" customHeight="1"/>
    <row r="650" ht="12.5" customHeight="1"/>
    <row r="651" ht="12.5" customHeight="1"/>
    <row r="652" ht="12.5" customHeight="1"/>
    <row r="653" ht="12.5" customHeight="1"/>
    <row r="654" ht="12.5" customHeight="1"/>
    <row r="655" ht="12.5" customHeight="1"/>
    <row r="656" ht="12.5" customHeight="1"/>
    <row r="657" ht="12.5" customHeight="1"/>
    <row r="658" ht="12.5" customHeight="1"/>
    <row r="659" ht="12.5" customHeight="1"/>
    <row r="660" ht="12.5" customHeight="1"/>
    <row r="661" ht="12.5" customHeight="1"/>
    <row r="662" ht="12.5" customHeight="1"/>
    <row r="663" ht="12.5" customHeight="1"/>
    <row r="664" ht="12.5" customHeight="1"/>
    <row r="665" ht="12.5" customHeight="1"/>
    <row r="666" ht="12.5" customHeight="1"/>
    <row r="667" ht="12.5" customHeight="1"/>
    <row r="668" ht="12.5" customHeight="1"/>
    <row r="669" ht="12.5" customHeight="1"/>
    <row r="670" ht="12.5" customHeight="1"/>
    <row r="671" ht="12.5" customHeight="1"/>
    <row r="672" ht="12.5" customHeight="1"/>
    <row r="673" ht="12.5" customHeight="1"/>
    <row r="674" ht="12.5" customHeight="1"/>
    <row r="675" ht="12.5" customHeight="1"/>
    <row r="676" ht="12.5" customHeight="1"/>
    <row r="677" ht="12.5" customHeight="1"/>
    <row r="678" ht="12.5" customHeight="1"/>
    <row r="679" ht="12.5" customHeight="1"/>
    <row r="680" ht="12.5" customHeight="1"/>
    <row r="681" ht="12.5" customHeight="1"/>
    <row r="682" ht="12.5" customHeight="1"/>
    <row r="683" ht="12.5" customHeight="1"/>
    <row r="684" ht="12.5" customHeight="1"/>
    <row r="685" ht="12.5" customHeight="1"/>
    <row r="686" ht="12.5" customHeight="1"/>
    <row r="687" ht="12.5" customHeight="1"/>
    <row r="688" ht="12.5" customHeight="1"/>
    <row r="689" ht="12.5" customHeight="1"/>
    <row r="690" ht="12.5" customHeight="1"/>
    <row r="691" ht="12.5" customHeight="1"/>
    <row r="692" ht="12.5" customHeight="1"/>
    <row r="693" ht="12.5" customHeight="1"/>
    <row r="694" ht="12.5" customHeight="1"/>
    <row r="695" ht="12.5" customHeight="1"/>
    <row r="696" ht="12.5" customHeight="1"/>
    <row r="697" ht="12.5" customHeight="1"/>
    <row r="698" ht="12.5" customHeight="1"/>
    <row r="699" ht="12.5" customHeight="1"/>
    <row r="700" ht="12.5" customHeight="1"/>
    <row r="701" ht="12.5" customHeight="1"/>
    <row r="702" ht="12.5" customHeight="1"/>
    <row r="703" ht="12.5" customHeight="1"/>
    <row r="704" ht="12.5" customHeight="1"/>
    <row r="705" ht="12.5" customHeight="1"/>
    <row r="706" ht="12.5" customHeight="1"/>
    <row r="707" ht="12.5" customHeight="1"/>
    <row r="708" ht="12.5" customHeight="1"/>
    <row r="709" ht="12.5" customHeight="1"/>
    <row r="710" ht="12.5" customHeight="1"/>
    <row r="711" ht="12.5" customHeight="1"/>
    <row r="712" ht="12.5" customHeight="1"/>
    <row r="713" ht="12.5" customHeight="1"/>
    <row r="714" ht="12.5" customHeight="1"/>
    <row r="715" ht="12.5" customHeight="1"/>
    <row r="716" ht="12.5" customHeight="1"/>
    <row r="717" ht="12.5" customHeight="1"/>
    <row r="718" ht="12.5" customHeight="1"/>
    <row r="719" ht="12.5" customHeight="1"/>
    <row r="720" ht="12.5" customHeight="1"/>
    <row r="721" ht="12.5" customHeight="1"/>
    <row r="722" ht="12.5" customHeight="1"/>
    <row r="723" ht="12.5" customHeight="1"/>
    <row r="724" ht="12.5" customHeight="1"/>
    <row r="725" ht="12.5" customHeight="1"/>
    <row r="726" ht="12.5" customHeight="1"/>
    <row r="727" ht="12.5" customHeight="1"/>
    <row r="728" ht="12.5" customHeight="1"/>
    <row r="729" ht="12.5" customHeight="1"/>
    <row r="730" ht="12.5" customHeight="1"/>
    <row r="731" ht="12.5" customHeight="1"/>
    <row r="732" ht="12.5" customHeight="1"/>
    <row r="733" ht="12.5" customHeight="1"/>
    <row r="734" ht="12.5" customHeight="1"/>
    <row r="735" ht="12.5" customHeight="1"/>
    <row r="736" ht="12.5" customHeight="1"/>
    <row r="737" ht="12.5" customHeight="1"/>
    <row r="738" ht="12.5" customHeight="1"/>
    <row r="739" ht="12.5" customHeight="1"/>
    <row r="740" ht="12.5" customHeight="1"/>
    <row r="741" ht="12.5" customHeight="1"/>
    <row r="742" ht="12.5" customHeight="1"/>
    <row r="743" ht="12.5" customHeight="1"/>
    <row r="744" ht="12.5" customHeight="1"/>
    <row r="745" ht="12.5" customHeight="1"/>
    <row r="746" ht="12.5" customHeight="1"/>
    <row r="747" ht="12.5" customHeight="1"/>
    <row r="748" ht="12.5" customHeight="1"/>
    <row r="749" ht="12.5" customHeight="1"/>
    <row r="750" ht="12.5" customHeight="1"/>
    <row r="751" ht="12.5" customHeight="1"/>
    <row r="752" ht="12.5" customHeight="1"/>
    <row r="753" ht="12.5" customHeight="1"/>
    <row r="754" ht="12.5" customHeight="1"/>
    <row r="755" ht="12.5" customHeight="1"/>
    <row r="756" ht="12.5" customHeight="1"/>
    <row r="757" ht="12.5" customHeight="1"/>
    <row r="758" ht="12.5" customHeight="1"/>
    <row r="759" ht="12.5" customHeight="1"/>
    <row r="760" ht="12.5" customHeight="1"/>
    <row r="761" ht="12.5" customHeight="1"/>
    <row r="762" ht="12.5" customHeight="1"/>
    <row r="763" ht="12.5" customHeight="1"/>
    <row r="764" ht="12.5" customHeight="1"/>
    <row r="765" ht="12.5" customHeight="1"/>
    <row r="766" ht="12.5" customHeight="1"/>
    <row r="767" ht="12.5" customHeight="1"/>
    <row r="768" ht="12.5" customHeight="1"/>
    <row r="769" ht="12.5" customHeight="1"/>
    <row r="770" ht="12.5" customHeight="1"/>
    <row r="771" ht="12.5" customHeight="1"/>
    <row r="772" ht="12.5" customHeight="1"/>
    <row r="773" ht="12.5" customHeight="1"/>
    <row r="774" ht="12.5" customHeight="1"/>
    <row r="775" ht="12.5" customHeight="1"/>
    <row r="776" ht="12.5" customHeight="1"/>
    <row r="777" ht="12.5" customHeight="1"/>
    <row r="778" ht="12.5" customHeight="1"/>
    <row r="779" ht="12.5" customHeight="1"/>
    <row r="780" ht="12.5" customHeight="1"/>
    <row r="781" ht="12.5" customHeight="1"/>
    <row r="782" ht="12.5" customHeight="1"/>
    <row r="783" ht="12.5" customHeight="1"/>
    <row r="784" ht="12.5" customHeight="1"/>
    <row r="785" ht="12.5" customHeight="1"/>
    <row r="786" ht="12.5" customHeight="1"/>
    <row r="787" ht="12.5" customHeight="1"/>
    <row r="788" ht="12.5" customHeight="1"/>
    <row r="789" ht="12.5" customHeight="1"/>
    <row r="790" ht="12.5" customHeight="1"/>
    <row r="791" ht="12.5" customHeight="1"/>
    <row r="792" ht="12.5" customHeight="1"/>
    <row r="793" ht="12.5" customHeight="1"/>
    <row r="794" ht="12.5" customHeight="1"/>
    <row r="795" ht="12.5" customHeight="1"/>
    <row r="796" ht="12.5" customHeight="1"/>
    <row r="797" ht="12.5" customHeight="1"/>
    <row r="798" ht="12.5" customHeight="1"/>
    <row r="799" ht="12.5" customHeight="1"/>
    <row r="800" ht="12.5" customHeight="1"/>
    <row r="801" ht="12.5" customHeight="1"/>
    <row r="802" ht="12.5" customHeight="1"/>
    <row r="803" ht="12.5" customHeight="1"/>
    <row r="804" ht="12.5" customHeight="1"/>
    <row r="805" ht="12.5" customHeight="1"/>
    <row r="806" ht="12.5" customHeight="1"/>
    <row r="807" ht="12.5" customHeight="1"/>
    <row r="808" ht="12.5" customHeight="1"/>
    <row r="809" ht="12.5" customHeight="1"/>
    <row r="810" ht="12.5" customHeight="1"/>
    <row r="811" ht="12.5" customHeight="1"/>
    <row r="812" ht="12.5" customHeight="1"/>
    <row r="813" ht="12.5" customHeight="1"/>
    <row r="814" ht="12.5" customHeight="1"/>
    <row r="815" ht="12.5" customHeight="1"/>
    <row r="816" ht="12.5" customHeight="1"/>
    <row r="817" ht="12.5" customHeight="1"/>
    <row r="818" ht="12.5" customHeight="1"/>
    <row r="819" ht="12.5" customHeight="1"/>
    <row r="820" ht="12.5" customHeight="1"/>
    <row r="821" ht="12.5" customHeight="1"/>
    <row r="822" ht="12.5" customHeight="1"/>
    <row r="823" ht="12.5" customHeight="1"/>
    <row r="824" ht="12.5" customHeight="1"/>
    <row r="825" ht="12.5" customHeight="1"/>
    <row r="826" ht="12.5" customHeight="1"/>
    <row r="827" ht="12.5" customHeight="1"/>
    <row r="828" ht="12.5" customHeight="1"/>
    <row r="829" ht="12.5" customHeight="1"/>
    <row r="830" ht="12.5" customHeight="1"/>
    <row r="831" ht="12.5" customHeight="1"/>
    <row r="832" ht="12.5" customHeight="1"/>
    <row r="833" ht="12.5" customHeight="1"/>
    <row r="834" ht="12.5" customHeight="1"/>
    <row r="835" ht="12.5" customHeight="1"/>
    <row r="836" ht="12.5" customHeight="1"/>
    <row r="837" ht="12.5" customHeight="1"/>
    <row r="838" ht="12.5" customHeight="1"/>
    <row r="839" ht="12.5" customHeight="1"/>
    <row r="840" ht="12.5" customHeight="1"/>
    <row r="841" ht="12.5" customHeight="1"/>
    <row r="842" ht="12.5" customHeight="1"/>
    <row r="843" ht="12.5" customHeight="1"/>
    <row r="844" ht="12.5" customHeight="1"/>
    <row r="845" ht="12.5" customHeight="1"/>
    <row r="846" ht="12.5" customHeight="1"/>
    <row r="847" ht="12.5" customHeight="1"/>
    <row r="848" ht="12.5" customHeight="1"/>
    <row r="849" ht="12.5" customHeight="1"/>
    <row r="850" ht="12.5" customHeight="1"/>
    <row r="851" ht="12.5" customHeight="1"/>
    <row r="852" ht="12.5" customHeight="1"/>
    <row r="853" ht="12.5" customHeight="1"/>
    <row r="854" ht="12.5" customHeight="1"/>
    <row r="855" ht="12.5" customHeight="1"/>
    <row r="856" ht="12.5" customHeight="1"/>
    <row r="857" ht="12.5" customHeight="1"/>
    <row r="858" ht="12.5" customHeight="1"/>
    <row r="859" ht="12.5" customHeight="1"/>
    <row r="860" ht="12.5" customHeight="1"/>
    <row r="861" ht="12.5" customHeight="1"/>
    <row r="862" ht="12.5" customHeight="1"/>
    <row r="863" ht="12.5" customHeight="1"/>
    <row r="864" ht="12.5" customHeight="1"/>
    <row r="865" ht="12.5" customHeight="1"/>
    <row r="866" ht="12.5" customHeight="1"/>
    <row r="867" ht="12.5" customHeight="1"/>
    <row r="868" ht="12.5" customHeight="1"/>
    <row r="869" ht="12.5" customHeight="1"/>
    <row r="870" ht="12.5" customHeight="1"/>
    <row r="871" ht="12.5" customHeight="1"/>
    <row r="872" ht="12.5" customHeight="1"/>
    <row r="873" ht="12.5" customHeight="1"/>
    <row r="874" ht="12.5" customHeight="1"/>
    <row r="875" ht="12.5" customHeight="1"/>
    <row r="876" ht="12.5" customHeight="1"/>
    <row r="877" ht="12.5" customHeight="1"/>
    <row r="878" ht="12.5" customHeight="1"/>
    <row r="879" ht="12.5" customHeight="1"/>
    <row r="880" ht="12.5" customHeight="1"/>
    <row r="881" ht="12.5" customHeight="1"/>
    <row r="882" ht="12.5" customHeight="1"/>
    <row r="883" ht="12.5" customHeight="1"/>
    <row r="884" ht="12.5" customHeight="1"/>
    <row r="885" ht="12.5" customHeight="1"/>
    <row r="886" ht="12.5" customHeight="1"/>
    <row r="887" ht="12.5" customHeight="1"/>
    <row r="888" ht="12.5" customHeight="1"/>
    <row r="889" ht="12.5" customHeight="1"/>
    <row r="890" ht="12.5" customHeight="1"/>
    <row r="891" ht="12.5" customHeight="1"/>
    <row r="892" ht="12.5" customHeight="1"/>
    <row r="893" ht="12.5" customHeight="1"/>
    <row r="894" ht="12.5" customHeight="1"/>
    <row r="895" ht="12.5" customHeight="1"/>
    <row r="896" ht="12.5" customHeight="1"/>
    <row r="897" ht="12.5" customHeight="1"/>
    <row r="898" ht="12.5" customHeight="1"/>
    <row r="899" ht="12.5" customHeight="1"/>
    <row r="900" ht="12.5" customHeight="1"/>
    <row r="901" ht="12.5" customHeight="1"/>
    <row r="902" ht="12.5" customHeight="1"/>
    <row r="903" ht="12.5" customHeight="1"/>
    <row r="904" ht="12.5" customHeight="1"/>
    <row r="905" ht="12.5" customHeight="1"/>
    <row r="906" ht="12.5" customHeight="1"/>
    <row r="907" ht="12.5" customHeight="1"/>
    <row r="908" ht="12.5" customHeight="1"/>
    <row r="909" ht="12.5" customHeight="1"/>
    <row r="910" ht="12.5" customHeight="1"/>
    <row r="911" ht="12.5" customHeight="1"/>
    <row r="912" ht="12.5" customHeight="1"/>
    <row r="913" ht="12.5" customHeight="1"/>
    <row r="914" ht="12.5" customHeight="1"/>
    <row r="915" ht="12.5" customHeight="1"/>
    <row r="916" ht="12.5" customHeight="1"/>
    <row r="917" ht="12.5" customHeight="1"/>
    <row r="918" ht="12.5" customHeight="1"/>
    <row r="919" ht="12.5" customHeight="1"/>
    <row r="920" ht="12.5" customHeight="1"/>
    <row r="921" ht="12.5" customHeight="1"/>
    <row r="922" ht="12.5" customHeight="1"/>
    <row r="923" ht="12.5" customHeight="1"/>
    <row r="924" ht="12.5" customHeight="1"/>
    <row r="925" ht="12.5" customHeight="1"/>
    <row r="926" ht="12.5" customHeight="1"/>
    <row r="927" ht="12.5" customHeight="1"/>
    <row r="928" ht="12.5" customHeight="1"/>
    <row r="929" ht="12.5" customHeight="1"/>
    <row r="930" ht="12.5" customHeight="1"/>
    <row r="931" ht="12.5" customHeight="1"/>
    <row r="932" ht="12.5" customHeight="1"/>
    <row r="933" ht="12.5" customHeight="1"/>
    <row r="934" ht="12.5" customHeight="1"/>
    <row r="935" ht="12.5" customHeight="1"/>
    <row r="936" ht="12.5" customHeight="1"/>
    <row r="937" ht="12.5" customHeight="1"/>
    <row r="938" ht="12.5" customHeight="1"/>
    <row r="939" ht="12.5" customHeight="1"/>
    <row r="940" ht="12.5" customHeight="1"/>
    <row r="941" ht="12.5" customHeight="1"/>
    <row r="942" ht="12.5" customHeight="1"/>
    <row r="943" ht="12.5" customHeight="1"/>
    <row r="944" ht="12.5" customHeight="1"/>
    <row r="945" ht="12.5" customHeight="1"/>
    <row r="946" ht="12.5" customHeight="1"/>
    <row r="947" ht="12.5" customHeight="1"/>
    <row r="948" ht="12.5" customHeight="1"/>
    <row r="949" ht="12.5" customHeight="1"/>
    <row r="950" ht="12.5" customHeight="1"/>
    <row r="951" ht="12.5" customHeight="1"/>
    <row r="952" ht="12.5" customHeight="1"/>
    <row r="953" ht="12.5" customHeight="1"/>
    <row r="954" ht="12.5" customHeight="1"/>
    <row r="955" ht="12.5" customHeight="1"/>
    <row r="956" ht="12.5" customHeight="1"/>
    <row r="957" ht="12.5" customHeight="1"/>
    <row r="958" ht="12.5" customHeight="1"/>
    <row r="959" ht="12.5" customHeight="1"/>
    <row r="960" ht="12.5" customHeight="1"/>
    <row r="961" ht="12.5" customHeight="1"/>
    <row r="962" ht="12.5" customHeight="1"/>
    <row r="963" ht="12.5" customHeight="1"/>
    <row r="964" ht="12.5" customHeight="1"/>
    <row r="965" ht="12.5" customHeight="1"/>
    <row r="966" ht="12.5" customHeight="1"/>
    <row r="967" ht="12.5" customHeight="1"/>
    <row r="968" ht="12.5" customHeight="1"/>
    <row r="969" ht="12.5" customHeight="1"/>
    <row r="970" ht="12.5" customHeight="1"/>
    <row r="971" ht="12.5" customHeight="1"/>
    <row r="972" ht="12.5" customHeight="1"/>
    <row r="973" ht="12.5" customHeight="1"/>
  </sheetData>
  <mergeCells count="35">
    <mergeCell ref="K250:K253"/>
    <mergeCell ref="A393:A415"/>
    <mergeCell ref="A255:A277"/>
    <mergeCell ref="A278:A300"/>
    <mergeCell ref="A301:A323"/>
    <mergeCell ref="A324:A346"/>
    <mergeCell ref="A347:A369"/>
    <mergeCell ref="A370:A392"/>
    <mergeCell ref="K239:K240"/>
    <mergeCell ref="K241:K242"/>
    <mergeCell ref="K244:K245"/>
    <mergeCell ref="K246:K247"/>
    <mergeCell ref="K248:K249"/>
    <mergeCell ref="K117:K118"/>
    <mergeCell ref="K119:K121"/>
    <mergeCell ref="A140:A162"/>
    <mergeCell ref="A163:A185"/>
    <mergeCell ref="K163:K165"/>
    <mergeCell ref="K168:K170"/>
    <mergeCell ref="K72:K73"/>
    <mergeCell ref="K83:K84"/>
    <mergeCell ref="A94:A116"/>
    <mergeCell ref="K94:K96"/>
    <mergeCell ref="K108:K109"/>
    <mergeCell ref="K110:K111"/>
    <mergeCell ref="A71:A93"/>
    <mergeCell ref="A416:A438"/>
    <mergeCell ref="A439:A461"/>
    <mergeCell ref="A2:A24"/>
    <mergeCell ref="A25:A47"/>
    <mergeCell ref="A48:A70"/>
    <mergeCell ref="A117:A139"/>
    <mergeCell ref="A186:A208"/>
    <mergeCell ref="A209:A231"/>
    <mergeCell ref="A232:A254"/>
  </mergeCells>
  <hyperlinks>
    <hyperlink ref="K71" r:id="rId1" xr:uid="{9824FE12-E206-4761-9D3E-AE7681BE8453}"/>
    <hyperlink ref="K72" r:id="rId2" xr:uid="{A98913FD-423F-4EB1-85DA-8D548BB8AACF}"/>
    <hyperlink ref="K74" r:id="rId3" xr:uid="{30877AFF-719C-41D0-82EF-E9A6EB9ECDA3}"/>
    <hyperlink ref="K75" r:id="rId4" xr:uid="{BFB25496-B950-4467-AB45-DEE90D4EDC80}"/>
    <hyperlink ref="K76" r:id="rId5" xr:uid="{7E8A672F-1E46-41C6-9073-6EC3B550F239}"/>
    <hyperlink ref="K77" r:id="rId6" xr:uid="{C546B41A-3538-4D7D-8E4F-9D5170930F69}"/>
    <hyperlink ref="K78" r:id="rId7" xr:uid="{C74D3360-2586-4FAE-ACFB-9B7012950436}"/>
    <hyperlink ref="K79" r:id="rId8" xr:uid="{3BBAD6CF-EFF5-4E88-A006-0EDAA1D9C4A4}"/>
    <hyperlink ref="K80" r:id="rId9" xr:uid="{19269F08-0D7A-4895-A681-B1AE261F8792}"/>
    <hyperlink ref="K81" r:id="rId10" xr:uid="{D0F30F26-2A29-40E0-8596-CE7BB37E6171}"/>
    <hyperlink ref="K82" r:id="rId11" xr:uid="{E4E9FA53-78D5-41DA-92D5-A0EA4136B216}"/>
    <hyperlink ref="K83" r:id="rId12" xr:uid="{82F07780-CB63-4546-9926-E1216623FC27}"/>
    <hyperlink ref="K85" r:id="rId13" xr:uid="{D9B1AB54-5299-44D3-980F-0887CBF8EC0A}"/>
    <hyperlink ref="K86" r:id="rId14" xr:uid="{DACAA1E6-CE08-4599-BEFC-0E1739BD831C}"/>
    <hyperlink ref="K87" r:id="rId15" xr:uid="{00213FF4-2244-4A2D-A400-A5AFA48393EB}"/>
    <hyperlink ref="K88" r:id="rId16" xr:uid="{936F6E8B-7F9A-4480-9D2F-8574B590321D}"/>
    <hyperlink ref="K89" r:id="rId17" xr:uid="{7B791B50-13A1-43DC-875E-5DDA8BB0CF65}"/>
    <hyperlink ref="K90" r:id="rId18" xr:uid="{54D3B5C4-EE92-4B52-A8C3-A0DC98E06018}"/>
    <hyperlink ref="K91" r:id="rId19" xr:uid="{B8329B06-8F0F-4FC9-B2D8-3F8910C8264B}"/>
    <hyperlink ref="K92" r:id="rId20" xr:uid="{9FA11F76-5BA9-458C-819C-C58CEDA9C8B5}"/>
    <hyperlink ref="K93" r:id="rId21" xr:uid="{E6C4D852-8462-4E84-B7AB-EDF3F22B99C7}"/>
    <hyperlink ref="K94" r:id="rId22" xr:uid="{21446815-F4C2-44FF-BA17-4F1094880FA7}"/>
    <hyperlink ref="K97" r:id="rId23" xr:uid="{C95B0FD1-3D96-4147-843E-D8B371575A15}"/>
    <hyperlink ref="K98" r:id="rId24" xr:uid="{02C91C60-44E2-42FC-9B39-D35BF3DB476E}"/>
    <hyperlink ref="K100" r:id="rId25" xr:uid="{559664C4-EAB4-4094-86F5-15B16F322935}"/>
    <hyperlink ref="K101" r:id="rId26" xr:uid="{033255F8-F17D-4A91-9071-D1B84FBDBC00}"/>
    <hyperlink ref="K102" r:id="rId27" xr:uid="{80446B9E-CC16-4BDA-87A5-74E402816100}"/>
    <hyperlink ref="K103" r:id="rId28" xr:uid="{5658A940-1FF9-4AE3-9780-B9AA313776B3}"/>
    <hyperlink ref="K104" r:id="rId29" xr:uid="{BAEBC501-F137-436A-8D68-B85232DF3AF6}"/>
    <hyperlink ref="K105" r:id="rId30" xr:uid="{922B8938-8B0E-4B25-B38F-00D5072504F7}"/>
    <hyperlink ref="K106" r:id="rId31" xr:uid="{2B8605CA-0C2F-4ED3-83E4-21964A3DFFFC}"/>
    <hyperlink ref="K107" r:id="rId32" xr:uid="{66955205-CF9C-4BDE-BBF8-9174C020D743}"/>
    <hyperlink ref="K108" r:id="rId33" xr:uid="{56E7A712-13FD-47FE-823C-EFAABFF1A549}"/>
    <hyperlink ref="K110" r:id="rId34" xr:uid="{AF80EAB5-0106-44B5-AECA-CB7F2B333406}"/>
    <hyperlink ref="K112" r:id="rId35" xr:uid="{2D6D7F32-B5F4-4B1D-BF44-77E8B11C4794}"/>
    <hyperlink ref="K113" r:id="rId36" xr:uid="{1CF8BE70-8A69-4200-A315-878A69787CDC}"/>
    <hyperlink ref="K114" r:id="rId37" xr:uid="{388BDB74-4FFB-4AAD-89F4-0E40B89A9B32}"/>
    <hyperlink ref="K115" r:id="rId38" xr:uid="{3B6F24EB-C8E4-44B1-A72C-21ED2B1861C7}"/>
    <hyperlink ref="K116" r:id="rId39" xr:uid="{C6A1EFD8-C0D6-4CE2-8C73-5C9BDA975115}"/>
    <hyperlink ref="K117" r:id="rId40" xr:uid="{0A035A0B-7FEC-4204-9824-F562D0E36D9F}"/>
    <hyperlink ref="K119" r:id="rId41" xr:uid="{2DBAD5E7-E827-469E-B54B-CC03C187175E}"/>
    <hyperlink ref="K122" r:id="rId42" xr:uid="{EB7A18BD-5077-4AFF-BAEF-BC1D4818DF5F}"/>
    <hyperlink ref="K123" r:id="rId43" xr:uid="{E6DABD5F-302C-49CD-932A-4ED7F74C6646}"/>
    <hyperlink ref="K124" r:id="rId44" xr:uid="{A66FBB09-74DE-4929-A076-EE8DB239C02E}"/>
    <hyperlink ref="K125" r:id="rId45" xr:uid="{A7845001-0365-49F7-A39B-1E9FBBA4C29C}"/>
    <hyperlink ref="K126" r:id="rId46" xr:uid="{25BCFF54-F0A6-4692-8E17-181D4CECFC9A}"/>
    <hyperlink ref="K127" r:id="rId47" xr:uid="{4C6408E1-1800-4DF6-84C1-2B0ED5BFDA50}"/>
    <hyperlink ref="K128" r:id="rId48" xr:uid="{76981035-86FA-412B-9E5D-B34CC252A589}"/>
    <hyperlink ref="K129" r:id="rId49" xr:uid="{B19D1453-CE10-417E-8822-80ADCD70BE4B}"/>
    <hyperlink ref="K133" r:id="rId50" xr:uid="{47CEDF83-BB3D-4B7F-B4A5-2D89A36BB8EC}"/>
    <hyperlink ref="K134" r:id="rId51" xr:uid="{71D6418A-4DB6-43A0-8D2E-9CC67B960DE4}"/>
    <hyperlink ref="K135" r:id="rId52" xr:uid="{55B034FE-761D-431D-AC1E-4B40B1DCFE2C}"/>
    <hyperlink ref="K136" r:id="rId53" xr:uid="{B4450CD6-1186-4F16-8015-43B74C604363}"/>
    <hyperlink ref="K137" r:id="rId54" xr:uid="{CFF0883F-A37F-49CC-BEA3-6F62DBCB418B}"/>
    <hyperlink ref="K138" r:id="rId55" xr:uid="{AEB1ABD0-D7BB-430E-B6DA-A6319DBD289D}"/>
    <hyperlink ref="K139" r:id="rId56" xr:uid="{A5C4B657-A27A-47DC-BBBF-F8CAA2EC7D99}"/>
    <hyperlink ref="K140" r:id="rId57" xr:uid="{5A955AB7-9880-4B29-B17B-B51B966FC800}"/>
    <hyperlink ref="K141" r:id="rId58" xr:uid="{E8897D97-63DA-4199-8F09-4DA87AEDDD88}"/>
    <hyperlink ref="K142" r:id="rId59" xr:uid="{BA116272-4F6F-4625-BDB9-AD37A33C3523}"/>
    <hyperlink ref="K143" r:id="rId60" xr:uid="{99253FFB-662E-4DB9-848C-179104777831}"/>
    <hyperlink ref="K144" r:id="rId61" xr:uid="{E6C744B0-F18F-422A-AD1C-04F7BC09E0AF}"/>
    <hyperlink ref="K145" r:id="rId62" xr:uid="{77CF1306-4E02-456E-B204-06A98D7F2591}"/>
    <hyperlink ref="K146" r:id="rId63" xr:uid="{38EFE63D-CC1C-442C-BC90-B4C9E8BDC6B1}"/>
    <hyperlink ref="K147" r:id="rId64" xr:uid="{E0A56A61-9CCC-4B6B-A7E2-7F77CC855CB8}"/>
    <hyperlink ref="K148" r:id="rId65" xr:uid="{61796867-3CA7-4E86-8BA1-B0B15B71A95D}"/>
    <hyperlink ref="K149" r:id="rId66" xr:uid="{75B7F15A-F9DA-4EC2-ABA3-E13730778FB8}"/>
    <hyperlink ref="K150" r:id="rId67" xr:uid="{8F87CA5D-6B04-4279-93C5-838B58F210E5}"/>
    <hyperlink ref="K151" r:id="rId68" xr:uid="{E064952D-A985-452B-8FA9-0E96B60B176E}"/>
    <hyperlink ref="K152" r:id="rId69" xr:uid="{76B8E1BC-64B6-4B29-8D01-B57DE52BFE89}"/>
    <hyperlink ref="K153" r:id="rId70" xr:uid="{42BF67E8-B31B-40D7-8FFB-FDB0E3B7A8CD}"/>
    <hyperlink ref="K154" r:id="rId71" xr:uid="{91AF0251-06B6-4B71-BAB1-024C20C21F2E}"/>
    <hyperlink ref="K155" r:id="rId72" xr:uid="{AFB1AAA4-DCAA-4BCB-B89B-AE6DD45A43A6}"/>
    <hyperlink ref="K156" r:id="rId73" xr:uid="{D938C5FD-3A78-497D-A5C4-9A7F66FBADD3}"/>
    <hyperlink ref="K157" r:id="rId74" xr:uid="{1A72D455-3C9E-4B8E-A8F1-2E59E93C94D7}"/>
    <hyperlink ref="K158" r:id="rId75" xr:uid="{AFB502C3-E187-4F32-A0AA-2D0C7B216441}"/>
    <hyperlink ref="K159" r:id="rId76" xr:uid="{F03BD2A7-B977-44FC-9E94-6669515A64AE}"/>
    <hyperlink ref="K160" r:id="rId77" xr:uid="{967628E9-9D6A-47BB-A7B0-A3F37932E073}"/>
    <hyperlink ref="K161" r:id="rId78" xr:uid="{15587412-D61E-4570-97E9-DD4A5C4412BA}"/>
    <hyperlink ref="K162" r:id="rId79" xr:uid="{176DFBD3-8585-4447-A8C0-C2E765E385F8}"/>
    <hyperlink ref="K163" r:id="rId80" xr:uid="{9F05C5AE-BA72-495A-AADB-0767E8501006}"/>
    <hyperlink ref="K168" r:id="rId81" xr:uid="{CF27CD62-4C9C-47E7-981B-2FDCB531A919}"/>
    <hyperlink ref="K171" r:id="rId82" xr:uid="{BE4AF3AE-937D-4C67-9BF5-F9B40EB14EF9}"/>
    <hyperlink ref="K172" r:id="rId83" xr:uid="{993F1137-C60B-41B6-A9FF-59693B62DDFF}"/>
    <hyperlink ref="K173" r:id="rId84" xr:uid="{F3C0A098-2BEF-4D5E-AEE1-6C9DB0C48569}"/>
    <hyperlink ref="K175" r:id="rId85" xr:uid="{08B8401C-3B92-40C6-8129-EA90AA966C18}"/>
    <hyperlink ref="K176" r:id="rId86" xr:uid="{105DE29D-3384-48DE-ACB2-0F07DE684F60}"/>
    <hyperlink ref="K177" r:id="rId87" xr:uid="{0E29EECF-338E-498D-8B79-729C68FD4CD2}"/>
    <hyperlink ref="K178" r:id="rId88" xr:uid="{1AD8BD96-C1AD-4E0E-A0E0-A9944FDC094C}"/>
    <hyperlink ref="K179" r:id="rId89" xr:uid="{866A02F3-E623-467E-81D0-EA3A25D63B51}"/>
    <hyperlink ref="K180" r:id="rId90" xr:uid="{9722AF25-CF03-4A5E-A833-4EE7186F9FAB}"/>
    <hyperlink ref="K181" r:id="rId91" xr:uid="{D78D29D5-A561-4FBC-B08E-B1748BE5B7EE}"/>
    <hyperlink ref="K182" r:id="rId92" xr:uid="{C99184C5-C754-490A-9784-C94D686B9E5B}"/>
    <hyperlink ref="K183" r:id="rId93" xr:uid="{DBA6ED28-4040-422A-B647-552AB22EC8CC}"/>
    <hyperlink ref="K184" r:id="rId94" xr:uid="{3BCCFD2D-FDE6-42B4-B7CA-C2BE44699547}"/>
    <hyperlink ref="K186" r:id="rId95" xr:uid="{4214A349-9FB9-4E65-9D78-756DCC5A8516}"/>
    <hyperlink ref="K187" r:id="rId96" xr:uid="{B647AECD-B8F1-48D8-8009-6D979878E532}"/>
    <hyperlink ref="K188" r:id="rId97" xr:uid="{29D991B8-FABE-4290-8207-275D41AAF8BC}"/>
    <hyperlink ref="K189" r:id="rId98" xr:uid="{A6A49790-06E6-4B08-B40F-FE87AF8D2856}"/>
    <hyperlink ref="K190" r:id="rId99" xr:uid="{81B91F10-BF4C-4EA5-90C2-FF63F77A1E50}"/>
    <hyperlink ref="K191" r:id="rId100" xr:uid="{EE51C686-05D2-41ED-A74D-F9E532AF7338}"/>
    <hyperlink ref="K192" r:id="rId101" xr:uid="{D4249750-C0A5-4056-A32F-BD7FC476A1F7}"/>
    <hyperlink ref="K193" r:id="rId102" xr:uid="{3FF24D11-16FB-47F4-A73B-49D32174B0E6}"/>
    <hyperlink ref="K194" r:id="rId103" xr:uid="{BB8B8918-A425-4853-A8DB-6DE38906192F}"/>
    <hyperlink ref="K195" r:id="rId104" xr:uid="{D397D87E-6FEA-45A8-9AA5-A832DEE78EB1}"/>
    <hyperlink ref="K196" r:id="rId105" xr:uid="{85503114-5DBF-41D3-A613-CC6B301F74F2}"/>
    <hyperlink ref="K197" r:id="rId106" xr:uid="{E00E506D-5FA9-4B74-841A-9DF7FA3DA75B}"/>
    <hyperlink ref="K198" r:id="rId107" xr:uid="{B84C4D47-CE03-4CCF-A48C-65F2B5BA4C49}"/>
    <hyperlink ref="K199" r:id="rId108" xr:uid="{7EA31BD1-5F42-4272-A4BD-7EE1D486CF59}"/>
    <hyperlink ref="K200" r:id="rId109" xr:uid="{F3746415-A334-4FF1-BB68-9B34E585F384}"/>
    <hyperlink ref="K201" r:id="rId110" xr:uid="{E869BF33-E949-4704-BE27-143749F4CBFB}"/>
    <hyperlink ref="K202" r:id="rId111" xr:uid="{AD4EB86C-715A-4DF6-A0C7-0A1D98CF4408}"/>
    <hyperlink ref="K203" r:id="rId112" xr:uid="{08E06D04-EB04-4D66-B864-082A57D30138}"/>
    <hyperlink ref="K204" r:id="rId113" xr:uid="{2494B918-8218-4C43-ACB0-136FC71ABCFE}"/>
    <hyperlink ref="K205" r:id="rId114" xr:uid="{779441BE-473F-4D5E-8BA4-E535669F4CC4}"/>
    <hyperlink ref="K206" r:id="rId115" xr:uid="{06EDC862-28F4-4B05-82B4-93B4BA70FB1A}"/>
    <hyperlink ref="K207" r:id="rId116" xr:uid="{19164932-AE58-45A3-8D42-419D53EFAEF2}"/>
    <hyperlink ref="K208" r:id="rId117" xr:uid="{8F215903-1D69-400E-9081-C8C7A206FCA4}"/>
    <hyperlink ref="K209" r:id="rId118" xr:uid="{79E64240-CC21-45AA-849A-162F9048F49F}"/>
    <hyperlink ref="K210" r:id="rId119" xr:uid="{2EE1DF15-43FF-4C97-8938-6521C19711A5}"/>
    <hyperlink ref="K211" r:id="rId120" xr:uid="{3B51417F-43C0-4A7A-9FBB-0F787DD7369A}"/>
    <hyperlink ref="K212" r:id="rId121" xr:uid="{09FCE1BE-6A66-4978-A7A8-971658BDC172}"/>
    <hyperlink ref="K213" r:id="rId122" xr:uid="{2131CFDC-1B8F-4298-B1FC-675993879BE1}"/>
    <hyperlink ref="K214" r:id="rId123" xr:uid="{155C1D25-7AFA-4C99-BE0F-D5B2012C5F7D}"/>
    <hyperlink ref="K216" r:id="rId124" xr:uid="{45C67E2E-5D56-421F-9729-02ED98E3F006}"/>
    <hyperlink ref="K217" r:id="rId125" xr:uid="{602E23E0-19B5-45EB-A5A4-59C28EA3CC57}"/>
    <hyperlink ref="K218" r:id="rId126" xr:uid="{71AAF975-1DF2-4393-A643-470FE17BD1DA}"/>
    <hyperlink ref="K219" r:id="rId127" xr:uid="{F4660F8C-D179-4E2D-AA1E-BCFE206FD72A}"/>
    <hyperlink ref="K220" r:id="rId128" xr:uid="{A1EB9D5F-098F-44C5-AD4C-E14CD6D189D5}"/>
    <hyperlink ref="K221" r:id="rId129" xr:uid="{F02786B7-8043-413B-8E82-32ABDCCC6D52}"/>
    <hyperlink ref="K222" r:id="rId130" xr:uid="{025CEE8E-47B1-4548-9929-86E1EC252961}"/>
    <hyperlink ref="K223" r:id="rId131" xr:uid="{A2D6DC8C-4493-4AC8-A646-D3CF751D853E}"/>
    <hyperlink ref="K225" r:id="rId132" xr:uid="{33583A53-E1DB-49B8-9044-56CFF7BFE462}"/>
    <hyperlink ref="K226" r:id="rId133" xr:uid="{60247B3D-29B5-43C0-B434-BD2127B39242}"/>
    <hyperlink ref="K227" r:id="rId134" xr:uid="{B22CB67C-03FE-42B7-A818-57C01C0983CF}"/>
    <hyperlink ref="K228" r:id="rId135" xr:uid="{9B3B6458-E2AC-42D6-858A-7B4CD290BDD6}"/>
    <hyperlink ref="K230" r:id="rId136" xr:uid="{70EE6F22-827E-487E-9094-D6E4FFB313AF}"/>
    <hyperlink ref="K231" r:id="rId137" xr:uid="{A803FEBA-074C-45DF-9599-82A01AD06584}"/>
    <hyperlink ref="K232" r:id="rId138" xr:uid="{B5584F7F-90F1-4AE1-A067-CFF972A5E2F8}"/>
    <hyperlink ref="K233" r:id="rId139" xr:uid="{484541E7-84D7-449E-BBFF-683BABC8BDD3}"/>
    <hyperlink ref="K234" r:id="rId140" xr:uid="{CFDFE533-65AE-4CBF-9F3C-CEC9F014ED0A}"/>
    <hyperlink ref="K235" r:id="rId141" xr:uid="{B3B537A9-5E44-4990-811F-ADF35E12998B}"/>
    <hyperlink ref="K236" r:id="rId142" xr:uid="{B5392F6D-31CB-4981-A7EF-1B12911907E4}"/>
    <hyperlink ref="K237" r:id="rId143" xr:uid="{87FE4F80-BBE3-480D-A91C-59149C4F3A82}"/>
    <hyperlink ref="K238" r:id="rId144" xr:uid="{1C0E68A9-E578-4095-82E9-2E0F2CB0450F}"/>
    <hyperlink ref="K239" r:id="rId145" xr:uid="{73C1C660-2088-4C08-B88B-A220EC6A033B}"/>
    <hyperlink ref="K241" r:id="rId146" xr:uid="{01ADDCDA-E200-4A41-8835-78DEC0C5F91E}"/>
    <hyperlink ref="K243" r:id="rId147" xr:uid="{0B6FE88B-7F0C-454C-8866-B2FEC971D69F}"/>
    <hyperlink ref="K244" r:id="rId148" xr:uid="{BA473B06-03AC-498E-BBEC-A6A876C43525}"/>
    <hyperlink ref="K246" r:id="rId149" xr:uid="{2EA635E3-924C-43C5-AE5E-2FDF4FBBC834}"/>
    <hyperlink ref="K248" r:id="rId150" xr:uid="{FEB4B466-8520-4C67-8E30-3BD4E98B1AD6}"/>
    <hyperlink ref="K250" r:id="rId151" xr:uid="{E7E46EEA-88CE-45FA-82C7-380F4FF72AAC}"/>
    <hyperlink ref="K254" r:id="rId152" xr:uid="{079AE5B2-27B2-4138-B131-9AA20D780B9C}"/>
    <hyperlink ref="K255" r:id="rId153" xr:uid="{4636526B-A9ED-4771-96E2-F7B6FE6D4649}"/>
    <hyperlink ref="K256" r:id="rId154" xr:uid="{619C0EE0-0146-4CF2-8D2D-4614271993D4}"/>
    <hyperlink ref="K257" r:id="rId155" xr:uid="{ADC498BB-9B64-46D6-9CED-3C35457C5CEE}"/>
    <hyperlink ref="K258" r:id="rId156" xr:uid="{3E7E5FF4-8893-4639-9A9C-31A9090EA438}"/>
    <hyperlink ref="K259" r:id="rId157" xr:uid="{CD917226-DE01-4B21-97E0-AC2835DB90DF}"/>
    <hyperlink ref="K260" r:id="rId158" xr:uid="{EA4818E0-711E-425B-8DC9-8374A115C2FF}"/>
    <hyperlink ref="K261" r:id="rId159" xr:uid="{78A7439A-FDB6-4E80-90E6-C0B1251FAE47}"/>
    <hyperlink ref="K262" r:id="rId160" xr:uid="{B483C87F-A220-43DC-BCF5-037094EF2E42}"/>
    <hyperlink ref="K263" r:id="rId161" xr:uid="{35E98A98-D5D8-4263-BD12-E5E83F3038C3}"/>
    <hyperlink ref="K264" r:id="rId162" xr:uid="{686EFFF9-6C8F-4C2B-9CB0-948ED4BDC26F}"/>
    <hyperlink ref="K265" r:id="rId163" xr:uid="{DDF0152A-015B-44B6-B847-3CEA4374BC8B}"/>
    <hyperlink ref="F266" r:id="rId164" xr:uid="{8352F3B5-9E9E-42D7-A7B5-91141AFE69B0}"/>
    <hyperlink ref="J266" r:id="rId165" xr:uid="{D929DC11-B6C2-42B6-B277-03CAD78976B0}"/>
    <hyperlink ref="K266" r:id="rId166" xr:uid="{6E445BCF-619B-4388-BF87-EF4D95092405}"/>
    <hyperlink ref="K267" r:id="rId167" xr:uid="{B8462D18-E233-4D4B-9E22-E76997F1034A}"/>
    <hyperlink ref="K268" r:id="rId168" xr:uid="{669CC0B3-E883-4C4D-A9D2-73B6B07EFFE9}"/>
    <hyperlink ref="K269" r:id="rId169" xr:uid="{1F26532D-DCC9-42D5-BF5D-864761153174}"/>
    <hyperlink ref="K270" r:id="rId170" xr:uid="{1044FF43-C56C-4D74-9BB8-63E75FC61A61}"/>
    <hyperlink ref="K271" r:id="rId171" xr:uid="{D72DEF02-B223-4844-8E76-47AE3D91A268}"/>
    <hyperlink ref="K272" r:id="rId172" xr:uid="{0F92414F-F863-4873-8F34-785AE35B5812}"/>
    <hyperlink ref="K273" r:id="rId173" xr:uid="{A5027562-4A5A-4A6B-849F-A5338AE72C03}"/>
    <hyperlink ref="K274" r:id="rId174" xr:uid="{B6BD7C1A-9D08-4097-8529-D919A85C7405}"/>
    <hyperlink ref="K275" r:id="rId175" xr:uid="{6824D030-CA2C-4256-B2AA-0441702A3FA4}"/>
    <hyperlink ref="K276" r:id="rId176" xr:uid="{7DD0E622-A870-4113-83D2-A34292588503}"/>
    <hyperlink ref="K277" r:id="rId177" xr:uid="{99CC1874-0BEA-4F6E-9D55-F206603D8D88}"/>
    <hyperlink ref="K278" r:id="rId178" xr:uid="{74EAF2D4-1588-4C0D-AF47-5C6264C9CACD}"/>
    <hyperlink ref="K279" r:id="rId179" xr:uid="{C67F79FE-A0F1-46DA-BB79-74C2758D1B94}"/>
    <hyperlink ref="K280" r:id="rId180" xr:uid="{FD5D0AF9-E526-429D-87BD-87328A5EAF3E}"/>
    <hyperlink ref="K281" r:id="rId181" xr:uid="{513AE4D4-A63A-4B5B-8D83-40EB40AA06CF}"/>
    <hyperlink ref="K282" r:id="rId182" xr:uid="{88544B6E-3550-41CF-B638-671D42F2AE9B}"/>
    <hyperlink ref="K283" r:id="rId183" xr:uid="{1300BD7A-2E99-4D2D-9F6F-BE93B3F2DCD2}"/>
    <hyperlink ref="K284" r:id="rId184" xr:uid="{2A52D1B0-41DD-41DF-B532-C213CB97AF8E}"/>
    <hyperlink ref="K285" r:id="rId185" xr:uid="{78B045EE-1227-40E8-BF36-2CEFBDB09C8B}"/>
    <hyperlink ref="K286" r:id="rId186" xr:uid="{C62A1200-26E7-4847-BD25-434F33AD7182}"/>
    <hyperlink ref="K287" r:id="rId187" xr:uid="{FF2AFF3E-3475-4AA8-B92F-9FC073DD3C1A}"/>
    <hyperlink ref="K288" r:id="rId188" xr:uid="{6A414902-6DBE-4126-853B-6C54B60C98E1}"/>
    <hyperlink ref="K289" r:id="rId189" xr:uid="{501029F6-0A9D-4919-8512-6E7654393D39}"/>
    <hyperlink ref="K290" r:id="rId190" xr:uid="{00AEEF65-4975-43D3-9831-585558731C82}"/>
    <hyperlink ref="K291" r:id="rId191" xr:uid="{3B810CF8-74D5-42BE-9090-B6B79EA946B8}"/>
    <hyperlink ref="K292" r:id="rId192" xr:uid="{1311C206-FE2E-4927-B653-3B48574DAFE2}"/>
    <hyperlink ref="K293" r:id="rId193" xr:uid="{775FEC2A-AC81-4292-9BE6-20B7617EBE0B}"/>
    <hyperlink ref="K294" r:id="rId194" xr:uid="{728C20DE-39E2-495B-8FF4-AC7F49E22E63}"/>
    <hyperlink ref="K295" r:id="rId195" xr:uid="{ACCEBFF1-990E-49A5-9162-E156278D0805}"/>
    <hyperlink ref="K296" r:id="rId196" xr:uid="{51C97F08-56DB-49A1-AE4B-86AF09A0EA67}"/>
    <hyperlink ref="K297" r:id="rId197" xr:uid="{37EC2247-0A0C-4B64-8C7F-4D002EDA6445}"/>
    <hyperlink ref="K298" r:id="rId198" xr:uid="{30170AC6-05AD-45A0-8A9D-4F726802D15D}"/>
    <hyperlink ref="K299" r:id="rId199" xr:uid="{261A7EBA-F837-478C-AADE-515F85652165}"/>
    <hyperlink ref="K300" r:id="rId200" xr:uid="{F9AEF985-6185-4808-96AE-BA7483E01A37}"/>
    <hyperlink ref="K301" r:id="rId201" xr:uid="{07DBD948-A69D-43D4-B55B-C37359826E4A}"/>
    <hyperlink ref="K302" r:id="rId202" xr:uid="{25054BB8-43C1-454A-8D0C-4D3182B315BF}"/>
    <hyperlink ref="K303" r:id="rId203" xr:uid="{112DCDDF-8615-43DA-AE34-752FBE9B1AC1}"/>
    <hyperlink ref="K304" r:id="rId204" xr:uid="{7DD9BD31-2D78-40E9-B5D5-B053EC9724EF}"/>
    <hyperlink ref="K305" r:id="rId205" xr:uid="{768CBE23-F332-4E73-BC69-ED18BF216D46}"/>
    <hyperlink ref="K306" r:id="rId206" xr:uid="{254D7A43-700F-4168-A1C3-A5E3A6F0E5D7}"/>
    <hyperlink ref="K307" r:id="rId207" xr:uid="{1F396497-03AC-4314-B558-A03B6564E04C}"/>
    <hyperlink ref="K308" r:id="rId208" xr:uid="{CE337605-DDD1-4EC9-AE69-321CC0D33AAC}"/>
    <hyperlink ref="K309" r:id="rId209" xr:uid="{5A245204-3615-49E9-ADD8-705C2A7325BD}"/>
    <hyperlink ref="K310" r:id="rId210" xr:uid="{D2425C37-2FF7-490D-B5B2-D6DB14E8752F}"/>
    <hyperlink ref="K311" r:id="rId211" xr:uid="{F68EAE4C-B88B-4ADA-9CD9-FC0CB945F9CA}"/>
    <hyperlink ref="K312" r:id="rId212" xr:uid="{C657FA07-55B2-4930-91D9-5196BE3360B4}"/>
    <hyperlink ref="K313" r:id="rId213" xr:uid="{E2D1B718-54CA-4277-91C4-CA7F6A77FB46}"/>
    <hyperlink ref="K314" r:id="rId214" xr:uid="{622E273C-EFB9-4E9B-8932-42AA4CA07151}"/>
    <hyperlink ref="K315" r:id="rId215" xr:uid="{4E67C04E-EDB9-4E01-BE68-27755A72CDF9}"/>
    <hyperlink ref="K316" r:id="rId216" xr:uid="{7B4AB388-D02F-4349-86AD-73231A2346AC}"/>
    <hyperlink ref="K317" r:id="rId217" xr:uid="{BF5E0492-CB2D-4179-8A4E-2480EC082657}"/>
    <hyperlink ref="K318" r:id="rId218" xr:uid="{67C6B95C-15BB-4CB5-81D2-AE0AB40587BB}"/>
    <hyperlink ref="K319" r:id="rId219" xr:uid="{E777B98B-F5C8-4A9F-B291-F36ACA90C1E6}"/>
    <hyperlink ref="K320" r:id="rId220" xr:uid="{3BE80E68-9F13-4414-A4D7-E886AEF28388}"/>
    <hyperlink ref="K321" r:id="rId221" xr:uid="{81FEFBFD-7886-4BF7-AEFE-85F3E24840ED}"/>
    <hyperlink ref="K322" r:id="rId222" xr:uid="{62A38C80-13F1-4B24-B9C7-6C4FE414EAC4}"/>
    <hyperlink ref="K323" r:id="rId223" xr:uid="{967C5574-813E-402D-8003-1F70F0D348D5}"/>
    <hyperlink ref="K324" r:id="rId224" xr:uid="{32EA5DAB-C9A9-4507-AA0D-152C808832DD}"/>
    <hyperlink ref="K325" r:id="rId225" xr:uid="{2260E386-DA84-4716-AD3A-9833F0BD7371}"/>
    <hyperlink ref="K326" r:id="rId226" xr:uid="{43917E49-EEDD-4CE7-8043-F54E10F9831F}"/>
    <hyperlink ref="K327" r:id="rId227" xr:uid="{71FA1759-B258-4102-82A1-AF1420F40006}"/>
    <hyperlink ref="K328" r:id="rId228" xr:uid="{413CAC0A-044C-4C48-884E-6A0FE40AF6DC}"/>
    <hyperlink ref="K329" r:id="rId229" xr:uid="{2A148789-E15F-4D14-9ACA-7109AE9AF3CA}"/>
    <hyperlink ref="K330" r:id="rId230" xr:uid="{8D1F418D-55B0-47AA-8487-488098904412}"/>
    <hyperlink ref="K331" r:id="rId231" xr:uid="{5CAAF051-7AAE-4497-AB9D-66A86FF074EF}"/>
    <hyperlink ref="K332" r:id="rId232" xr:uid="{44BCDDA1-3F29-45B4-824C-5345B8A0A95E}"/>
    <hyperlink ref="K333" r:id="rId233" xr:uid="{8C617B7D-7FC2-4EDE-96FE-F689A7E55E26}"/>
    <hyperlink ref="K334" r:id="rId234" xr:uid="{896DC58C-4667-4A2D-A5E0-FD532EF7E46E}"/>
    <hyperlink ref="K335" r:id="rId235" xr:uid="{139C3979-ED5F-4641-A49D-D7D867CAC865}"/>
    <hyperlink ref="K336" r:id="rId236" xr:uid="{0D24455F-F42E-4CFD-B50B-17D69BB6B3E6}"/>
    <hyperlink ref="K337" r:id="rId237" xr:uid="{04006D16-098E-48DB-9BC6-957C7698B1DD}"/>
    <hyperlink ref="K338" r:id="rId238" xr:uid="{706F9D68-B609-45F6-9F7C-70484CE4A41D}"/>
    <hyperlink ref="K339" r:id="rId239" xr:uid="{4AEDF0AA-3FD7-45A4-B40E-3DE717A1C4EA}"/>
    <hyperlink ref="K340" r:id="rId240" xr:uid="{E9AD6B2A-3A3E-44AA-B67A-AE1E48C46583}"/>
    <hyperlink ref="K341" r:id="rId241" xr:uid="{451BC506-1842-41BF-9EA5-912DDB009397}"/>
    <hyperlink ref="K343" r:id="rId242" xr:uid="{026DEE64-0AAF-4540-BAFA-1C207904CE97}"/>
    <hyperlink ref="K344" r:id="rId243" xr:uid="{311257C7-A26B-4ABB-A7A7-74F4AC75CC70}"/>
    <hyperlink ref="K345" r:id="rId244" xr:uid="{1C5A4D96-9270-489E-9880-F82684AC98F0}"/>
    <hyperlink ref="K346" r:id="rId245" xr:uid="{1B5DD527-59B7-41CD-8F36-6E53EE1B01D0}"/>
    <hyperlink ref="K347" r:id="rId246" xr:uid="{C62D7C12-1D0D-4531-AA6D-4E7FD92E7211}"/>
    <hyperlink ref="K348" r:id="rId247" xr:uid="{5C470952-C900-4DDF-9125-7F55BA484C98}"/>
    <hyperlink ref="K349" r:id="rId248" xr:uid="{C27784A4-2513-45FB-B161-EDEDA6705D4D}"/>
    <hyperlink ref="K350" r:id="rId249" xr:uid="{92E6EA92-8B3D-4274-91CF-B2A9CE63BD1C}"/>
    <hyperlink ref="K351" r:id="rId250" xr:uid="{AE1BE529-EC76-4028-896B-13641CB7B1EB}"/>
    <hyperlink ref="K352" r:id="rId251" xr:uid="{B71E329A-3278-4802-92BA-0235AA71CFC9}"/>
    <hyperlink ref="K353" r:id="rId252" xr:uid="{FD9F16C3-C46A-49B4-B60C-FC449445CB10}"/>
    <hyperlink ref="K354" r:id="rId253" xr:uid="{DAC135CE-DCAE-4153-A259-A69B9B37A9DC}"/>
    <hyperlink ref="K355" r:id="rId254" xr:uid="{93F3E870-AE23-4626-93B1-31792700D3C1}"/>
    <hyperlink ref="K356" r:id="rId255" xr:uid="{F2480AF4-7B18-48CD-BE8A-45FE7B8D8C78}"/>
    <hyperlink ref="K357" r:id="rId256" xr:uid="{122E90D0-AF16-4F5D-BF11-D2BAE3A4E72E}"/>
    <hyperlink ref="K358" r:id="rId257" xr:uid="{47E92CAE-A754-40A2-8988-CF7E99C04755}"/>
    <hyperlink ref="K359" r:id="rId258" xr:uid="{05C68F3D-B66C-47EB-A32C-1A1A56F28075}"/>
    <hyperlink ref="K360" r:id="rId259" xr:uid="{ECB9369E-C857-4A7B-8C3D-8F81A3863846}"/>
    <hyperlink ref="K361" r:id="rId260" xr:uid="{9FFC474A-3AE6-416C-94D6-B4F464DC14B8}"/>
    <hyperlink ref="K362" r:id="rId261" xr:uid="{770AA1FB-C6DF-4DC7-A232-64FA09FC65F6}"/>
    <hyperlink ref="K363" r:id="rId262" xr:uid="{1017A71E-4801-4B91-A69C-CBCCBA796073}"/>
    <hyperlink ref="K364" r:id="rId263" xr:uid="{505A45BD-1D41-4298-AEDF-57EF57CB2EF9}"/>
    <hyperlink ref="K365" r:id="rId264" xr:uid="{0C870659-C1E1-4899-BB07-6C6A0A775258}"/>
    <hyperlink ref="K366" r:id="rId265" xr:uid="{02041FFF-32EC-42B5-A577-4728D0F5C65C}"/>
    <hyperlink ref="K367" r:id="rId266" xr:uid="{13D93E61-A13B-4CC7-AA6A-920A454BB029}"/>
    <hyperlink ref="K368" r:id="rId267" xr:uid="{F1766C74-7D34-4C37-A3FE-7C2EDF67D970}"/>
    <hyperlink ref="K369" r:id="rId268" xr:uid="{440FE00D-A4A4-492F-9592-B6B8A7F29A48}"/>
    <hyperlink ref="K370" r:id="rId269" xr:uid="{E3C76653-891C-43A5-AB9A-88A146907964}"/>
    <hyperlink ref="K371" r:id="rId270" xr:uid="{3F3F6E0F-7D2F-46A1-B7D2-E7D9A1CC598C}"/>
    <hyperlink ref="K372" r:id="rId271" xr:uid="{3AAB13CB-B64B-4CFB-BF6F-092AF117ADB0}"/>
    <hyperlink ref="K373" r:id="rId272" xr:uid="{639918EE-0A48-48C4-9E13-D7B375F0556B}"/>
    <hyperlink ref="K374" r:id="rId273" xr:uid="{6C1C2430-4758-4374-849C-D8CD335A22F8}"/>
    <hyperlink ref="K375" r:id="rId274" xr:uid="{28054785-78AF-4512-97CF-07A0B25C80F0}"/>
    <hyperlink ref="K376" r:id="rId275" xr:uid="{7D0E1DA0-0AF9-4674-A834-3B575A527BD3}"/>
    <hyperlink ref="K377" r:id="rId276" xr:uid="{510CF15F-33E9-42AF-AB47-B36BCD0C4064}"/>
    <hyperlink ref="K378" r:id="rId277" xr:uid="{105480AB-7F08-453F-B2D5-FEADBF8E74EF}"/>
    <hyperlink ref="K379" r:id="rId278" xr:uid="{098E0742-CDE6-490A-9352-F4475501ABCF}"/>
    <hyperlink ref="K380" r:id="rId279" xr:uid="{9DB82987-4BCA-4516-84AC-5404034B4B19}"/>
    <hyperlink ref="K381" r:id="rId280" xr:uid="{BCEEA495-BB40-4674-84CD-24589CFAB120}"/>
    <hyperlink ref="K382" r:id="rId281" xr:uid="{135F219D-BFD0-42FC-AA25-F984CC55B888}"/>
    <hyperlink ref="K383" r:id="rId282" xr:uid="{EAE57277-154F-4157-8C3D-6F7D0C537D36}"/>
    <hyperlink ref="K384" r:id="rId283" xr:uid="{EB43D35D-4ECD-4A39-9385-8E93A3594A07}"/>
    <hyperlink ref="K385" r:id="rId284" xr:uid="{B35257EF-C9AB-409D-A198-9C2F8928B2E4}"/>
    <hyperlink ref="K386" r:id="rId285" xr:uid="{EE2B83B9-5F3D-43C4-8B27-1616462BF933}"/>
    <hyperlink ref="K387" r:id="rId286" xr:uid="{EB039447-8651-42F1-8949-71D2DB9C6497}"/>
    <hyperlink ref="K388" r:id="rId287" xr:uid="{4C4FF48E-DAA2-42EC-96DB-333DDAA02956}"/>
    <hyperlink ref="K389" r:id="rId288" xr:uid="{DAA7C52E-19AB-4B04-B543-3CA916B9C53D}"/>
    <hyperlink ref="K390" r:id="rId289" xr:uid="{EFDCB52A-1DA5-4022-BFE7-B9CAA567C9EF}"/>
    <hyperlink ref="K391" r:id="rId290" xr:uid="{4494E221-3D16-42F3-B3D0-9D158D3B069D}"/>
    <hyperlink ref="K392" r:id="rId291" xr:uid="{F51B0762-2571-4FC7-9595-473AB0646346}"/>
    <hyperlink ref="K393" r:id="rId292" xr:uid="{FE3182C2-5EBD-4E9C-96A9-E9692026DBD5}"/>
    <hyperlink ref="K394" r:id="rId293" xr:uid="{6541ADBB-597C-47F1-93AE-B35CD01EB178}"/>
    <hyperlink ref="K395" r:id="rId294" xr:uid="{0830550F-123E-4064-9A42-6B67548CBBA0}"/>
    <hyperlink ref="K396" r:id="rId295" xr:uid="{6448C327-8A01-4490-92AD-D0038A66B142}"/>
    <hyperlink ref="K397" r:id="rId296" xr:uid="{01B2965E-C65E-477A-AAE5-0C04AF54DF89}"/>
    <hyperlink ref="K398" r:id="rId297" xr:uid="{F9DC90DF-9CD9-45CF-BCD0-BDF9FF110B35}"/>
    <hyperlink ref="K399" r:id="rId298" xr:uid="{FAB4433A-FA94-4DEC-8564-F4A58F1CB929}"/>
    <hyperlink ref="K400" r:id="rId299" xr:uid="{C568EC93-E1C4-4337-89B8-915C81D678D3}"/>
    <hyperlink ref="K401" r:id="rId300" xr:uid="{D611DA84-4149-49FC-BC5B-9574DF9322B8}"/>
    <hyperlink ref="K402" r:id="rId301" xr:uid="{4BE389B2-E7A2-47E1-B1B7-E1652635DEA3}"/>
    <hyperlink ref="K403" r:id="rId302" xr:uid="{5F0C8DA4-547C-476E-AFCE-06645628273E}"/>
    <hyperlink ref="K404" r:id="rId303" xr:uid="{1D21862B-FFF6-48AC-B666-36BD0E9A0808}"/>
    <hyperlink ref="K405" r:id="rId304" xr:uid="{717F34C4-FDD7-4B82-8E48-CBD3CDC09BD6}"/>
    <hyperlink ref="K406" r:id="rId305" xr:uid="{22336CF7-9758-4362-BC63-C048F318DE0A}"/>
    <hyperlink ref="K407" r:id="rId306" xr:uid="{1FF32E9E-597C-46E2-9CEE-AF350A797A23}"/>
    <hyperlink ref="K408" r:id="rId307" xr:uid="{1D813841-3DC9-4086-A83A-21F970D9555B}"/>
    <hyperlink ref="K409" r:id="rId308" xr:uid="{EDD8ACC2-F383-4F3A-8FA0-306F68F8AD45}"/>
    <hyperlink ref="K410" r:id="rId309" xr:uid="{322F58AD-85AC-43D8-9658-1F48D029FA78}"/>
    <hyperlink ref="K411" r:id="rId310" xr:uid="{F5CE7FAA-2791-46D2-99CE-9FB53F2A0A8A}"/>
    <hyperlink ref="K412" r:id="rId311" xr:uid="{BA45347F-532D-4390-822B-AA2FCC077C65}"/>
    <hyperlink ref="K413" r:id="rId312" xr:uid="{AD2D5CC1-1169-4B38-8F0F-82E7FA20A40D}"/>
    <hyperlink ref="K414" r:id="rId313" xr:uid="{F6F1E473-F14F-4733-8607-0D8F0F9063BF}"/>
    <hyperlink ref="K415" r:id="rId314" xr:uid="{F81DEBF4-A6C8-4054-9FAA-8FB16F17A1F2}"/>
    <hyperlink ref="K416" r:id="rId315" xr:uid="{10CC4B3D-AA6B-4E6F-A222-C2037C06020D}"/>
    <hyperlink ref="K417" r:id="rId316" xr:uid="{69404BD2-7110-49B3-87F9-2C8ED8823BF2}"/>
    <hyperlink ref="K418" r:id="rId317" xr:uid="{98F093A1-6AC6-4F76-83BA-A84805849E03}"/>
    <hyperlink ref="K419" r:id="rId318" xr:uid="{0472A754-8F5B-4B19-94A3-9C2D77A7A5FF}"/>
    <hyperlink ref="K420" r:id="rId319" xr:uid="{FB84674A-879C-4801-A924-FDE9635A6131}"/>
    <hyperlink ref="K421" r:id="rId320" xr:uid="{C0833006-77C3-45CA-B327-276594636984}"/>
    <hyperlink ref="K422" r:id="rId321" xr:uid="{872B7C7B-9C22-4E6A-97CF-D870B473B15D}"/>
    <hyperlink ref="K423" r:id="rId322" xr:uid="{AAF10874-D7DB-48FB-BB9D-28171A47B04C}"/>
    <hyperlink ref="K424" r:id="rId323" xr:uid="{2F0D5D87-B19A-43DF-BCEE-73C6C8566F6D}"/>
    <hyperlink ref="K425" r:id="rId324" xr:uid="{3F4B5949-29B6-446E-AB90-7FAF46095748}"/>
    <hyperlink ref="K426" r:id="rId325" xr:uid="{865801BD-8285-40E3-B062-22061B0D1A03}"/>
    <hyperlink ref="K427" r:id="rId326" xr:uid="{3EE1D101-2FA2-4301-8629-DF8BA8136354}"/>
    <hyperlink ref="K428" r:id="rId327" xr:uid="{62582930-E462-46E1-AE90-8C3B30A7E5E7}"/>
    <hyperlink ref="K429" r:id="rId328" xr:uid="{DC72B5DA-A784-49AF-9839-87D47A570887}"/>
    <hyperlink ref="K430" r:id="rId329" xr:uid="{E81B864E-F03E-4B4E-9D83-31977084511A}"/>
    <hyperlink ref="K431" r:id="rId330" xr:uid="{F7A68349-5766-4903-BD02-E6E7A5677F72}"/>
    <hyperlink ref="K432" r:id="rId331" xr:uid="{58752367-A182-4A25-BD7C-3CF9108FAEB0}"/>
    <hyperlink ref="K433" r:id="rId332" xr:uid="{082C6578-2479-4B54-9A8F-E37955650644}"/>
    <hyperlink ref="K434" r:id="rId333" xr:uid="{F829E1D3-B8BC-4654-AC0D-D5EAA3537267}"/>
    <hyperlink ref="K435" r:id="rId334" xr:uid="{0FF57F75-89CC-43BA-84AA-C11C906A1FCC}"/>
    <hyperlink ref="K436" r:id="rId335" xr:uid="{36384556-2656-4B3D-9889-5972D88FCE9A}"/>
    <hyperlink ref="K437" r:id="rId336" xr:uid="{241A25E3-C9FD-4593-A4C6-1565E4EB4335}"/>
    <hyperlink ref="K438" r:id="rId337" xr:uid="{74C98D5D-F144-4BAD-85C0-711DAC309BE5}"/>
    <hyperlink ref="K439" r:id="rId338" xr:uid="{5677E208-25E0-4FE8-A4B6-E64B05CD7999}"/>
    <hyperlink ref="K440" r:id="rId339" xr:uid="{F625E15D-D02E-4DE4-84D7-01AEA6132C29}"/>
    <hyperlink ref="K441" r:id="rId340" xr:uid="{A4CCEE01-0F30-4464-844E-26309CB3FABD}"/>
    <hyperlink ref="K442" r:id="rId341" xr:uid="{30A66424-C7A1-49DA-A6D2-F768B84B2095}"/>
    <hyperlink ref="K443" r:id="rId342" xr:uid="{F0A2E5BE-997C-4C99-81ED-3BB9851A03AD}"/>
    <hyperlink ref="K444" r:id="rId343" xr:uid="{127564A0-1447-4F8B-8972-88761D572AE9}"/>
    <hyperlink ref="K445" r:id="rId344" xr:uid="{A1F09F07-FFE1-408A-9D95-44ABBD2BFE26}"/>
    <hyperlink ref="K446" r:id="rId345" xr:uid="{B4EA2598-32B3-403D-AE10-3029C0EAFC40}"/>
    <hyperlink ref="K447" r:id="rId346" xr:uid="{084EF711-9F21-48BE-A435-2359682E34EE}"/>
    <hyperlink ref="K448" r:id="rId347" xr:uid="{9176E2FC-FFBA-478A-9298-344D5578DA4E}"/>
    <hyperlink ref="K449" r:id="rId348" xr:uid="{8FC81C00-D7BB-4A43-8781-5A98265B23ED}"/>
    <hyperlink ref="K450" r:id="rId349" xr:uid="{B05088E2-2C8B-489D-A0E7-C2DB7969F8BC}"/>
    <hyperlink ref="K451" r:id="rId350" xr:uid="{D472CCC4-DDAE-4EF4-BC70-E1C4EFA08018}"/>
    <hyperlink ref="K452" r:id="rId351" xr:uid="{250E26A3-DA5C-459D-B570-FFCBEC659D56}"/>
    <hyperlink ref="K453" r:id="rId352" xr:uid="{BF3B2E7A-4888-4258-8C47-271CF93EFD1C}"/>
    <hyperlink ref="K454" r:id="rId353" xr:uid="{7644989A-E428-4CE9-8D58-9F7007EC7842}"/>
    <hyperlink ref="K455" r:id="rId354" xr:uid="{ADEB2BD8-1AC6-4C28-9336-A3EDD27F85AA}"/>
    <hyperlink ref="K456" r:id="rId355" xr:uid="{278AE2C9-4AD2-40ED-BE5A-038493847023}"/>
    <hyperlink ref="K457" r:id="rId356" xr:uid="{16BFF41D-C684-403D-8D4E-659559166F0C}"/>
    <hyperlink ref="K459" r:id="rId357" xr:uid="{FC21582E-D8F2-4C37-9C5E-F10A930FB974}"/>
    <hyperlink ref="K460" r:id="rId358" xr:uid="{F3216701-E7D2-47EB-95C9-F63DD67FC59F}"/>
    <hyperlink ref="K461" r:id="rId359" xr:uid="{901C5F56-43E2-4C76-89EA-FADBCB1934CE}"/>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08FB7-A7DC-41E9-9C32-95626169906D}">
  <dimension ref="B2:T117"/>
  <sheetViews>
    <sheetView topLeftCell="A34" zoomScale="62" workbookViewId="0">
      <selection activeCell="B3" sqref="B3"/>
    </sheetView>
  </sheetViews>
  <sheetFormatPr defaultRowHeight="14.5"/>
  <cols>
    <col min="2" max="2" width="16.90625" customWidth="1"/>
    <col min="3" max="3" width="13.36328125" customWidth="1"/>
    <col min="4" max="4" width="15.26953125" customWidth="1"/>
    <col min="5" max="5" width="14.453125" customWidth="1"/>
    <col min="6" max="6" width="14.36328125" customWidth="1"/>
    <col min="7" max="7" width="12.1796875" customWidth="1"/>
    <col min="8" max="8" width="15.7265625" customWidth="1"/>
    <col min="9" max="9" width="15.1796875" customWidth="1"/>
    <col min="10" max="10" width="14.1796875" customWidth="1"/>
    <col min="11" max="11" width="11.90625" customWidth="1"/>
    <col min="13" max="13" width="12.7265625" customWidth="1"/>
    <col min="14" max="14" width="16.36328125" customWidth="1"/>
    <col min="15" max="15" width="12" customWidth="1"/>
    <col min="17" max="17" width="13.90625" customWidth="1"/>
    <col min="18" max="18" width="16.54296875" customWidth="1"/>
    <col min="19" max="19" width="13.36328125" customWidth="1"/>
    <col min="20" max="20" width="15.81640625" customWidth="1"/>
  </cols>
  <sheetData>
    <row r="2" spans="2:20">
      <c r="B2" t="s">
        <v>1674</v>
      </c>
    </row>
    <row r="3" spans="2:20" ht="15" thickBot="1">
      <c r="B3" t="s">
        <v>1672</v>
      </c>
      <c r="C3" s="92" t="s">
        <v>1673</v>
      </c>
    </row>
    <row r="4" spans="2:20" ht="46" customHeight="1" thickBot="1">
      <c r="B4" s="26" t="s">
        <v>1179</v>
      </c>
      <c r="C4" s="27" t="s">
        <v>1180</v>
      </c>
      <c r="D4" s="27" t="s">
        <v>1181</v>
      </c>
      <c r="E4" s="27" t="s">
        <v>1182</v>
      </c>
      <c r="F4" s="27" t="s">
        <v>1183</v>
      </c>
      <c r="G4" s="27" t="s">
        <v>1184</v>
      </c>
      <c r="H4" s="27" t="s">
        <v>1185</v>
      </c>
      <c r="I4" s="27" t="s">
        <v>1186</v>
      </c>
      <c r="J4" s="27" t="s">
        <v>1187</v>
      </c>
      <c r="K4" s="27" t="s">
        <v>1188</v>
      </c>
      <c r="L4" s="27" t="s">
        <v>1189</v>
      </c>
      <c r="M4" s="27" t="s">
        <v>1190</v>
      </c>
      <c r="N4" s="27" t="s">
        <v>1191</v>
      </c>
      <c r="O4" s="27" t="s">
        <v>1192</v>
      </c>
      <c r="P4" s="27" t="s">
        <v>1193</v>
      </c>
      <c r="Q4" s="27" t="s">
        <v>1194</v>
      </c>
      <c r="R4" s="27" t="s">
        <v>1195</v>
      </c>
      <c r="S4" s="27" t="s">
        <v>1196</v>
      </c>
      <c r="T4" s="27" t="s">
        <v>1197</v>
      </c>
    </row>
    <row r="5" spans="2:20" ht="38" thickBot="1">
      <c r="B5" s="28">
        <v>1</v>
      </c>
      <c r="C5" s="29" t="s">
        <v>1198</v>
      </c>
      <c r="D5" s="30" t="s">
        <v>30</v>
      </c>
      <c r="E5" s="31" t="s">
        <v>1199</v>
      </c>
      <c r="F5" s="32" t="s">
        <v>1059</v>
      </c>
      <c r="G5" s="29" t="s">
        <v>1200</v>
      </c>
      <c r="H5" s="29" t="s">
        <v>1201</v>
      </c>
      <c r="I5" s="29" t="s">
        <v>1202</v>
      </c>
      <c r="J5" s="29" t="s">
        <v>1203</v>
      </c>
      <c r="K5" s="29" t="s">
        <v>1203</v>
      </c>
      <c r="L5" s="33">
        <v>5009</v>
      </c>
      <c r="M5" s="29" t="s">
        <v>1204</v>
      </c>
      <c r="N5" s="29" t="s">
        <v>78</v>
      </c>
      <c r="O5" s="34" t="s">
        <v>78</v>
      </c>
      <c r="P5" s="29" t="s">
        <v>78</v>
      </c>
      <c r="Q5" s="29" t="s">
        <v>78</v>
      </c>
      <c r="R5" s="35"/>
      <c r="S5" s="29" t="s">
        <v>78</v>
      </c>
      <c r="T5" s="36" t="s">
        <v>78</v>
      </c>
    </row>
    <row r="6" spans="2:20" ht="63" thickBot="1">
      <c r="B6" s="37">
        <v>2</v>
      </c>
      <c r="C6" s="38" t="s">
        <v>1205</v>
      </c>
      <c r="D6" s="39" t="s">
        <v>30</v>
      </c>
      <c r="E6" s="40" t="s">
        <v>1199</v>
      </c>
      <c r="F6" s="41" t="s">
        <v>1206</v>
      </c>
      <c r="G6" s="38" t="s">
        <v>1207</v>
      </c>
      <c r="H6" s="38" t="s">
        <v>1208</v>
      </c>
      <c r="I6" s="38" t="s">
        <v>1209</v>
      </c>
      <c r="J6" s="38" t="s">
        <v>1210</v>
      </c>
      <c r="K6" s="38" t="s">
        <v>1210</v>
      </c>
      <c r="L6" s="42"/>
      <c r="M6" s="38" t="s">
        <v>1211</v>
      </c>
      <c r="N6" s="38" t="s">
        <v>78</v>
      </c>
      <c r="O6" s="43" t="s">
        <v>78</v>
      </c>
      <c r="P6" s="42"/>
      <c r="Q6" s="38" t="s">
        <v>78</v>
      </c>
      <c r="R6" s="38" t="s">
        <v>78</v>
      </c>
      <c r="S6" s="38" t="s">
        <v>78</v>
      </c>
      <c r="T6" s="44" t="s">
        <v>78</v>
      </c>
    </row>
    <row r="7" spans="2:20" ht="38" thickBot="1">
      <c r="B7" s="28">
        <v>3</v>
      </c>
      <c r="C7" s="29" t="s">
        <v>1212</v>
      </c>
      <c r="D7" s="30" t="s">
        <v>30</v>
      </c>
      <c r="E7" s="31" t="s">
        <v>1199</v>
      </c>
      <c r="F7" s="32" t="s">
        <v>1059</v>
      </c>
      <c r="G7" s="29" t="s">
        <v>1200</v>
      </c>
      <c r="H7" s="29" t="s">
        <v>1201</v>
      </c>
      <c r="I7" s="29" t="s">
        <v>1213</v>
      </c>
      <c r="J7" s="29" t="s">
        <v>1214</v>
      </c>
      <c r="K7" s="29" t="s">
        <v>1215</v>
      </c>
      <c r="L7" s="33">
        <v>5043</v>
      </c>
      <c r="M7" s="29" t="s">
        <v>1216</v>
      </c>
      <c r="N7" s="29" t="s">
        <v>78</v>
      </c>
      <c r="O7" s="34" t="s">
        <v>78</v>
      </c>
      <c r="P7" s="29" t="s">
        <v>78</v>
      </c>
      <c r="Q7" s="29" t="s">
        <v>78</v>
      </c>
      <c r="R7" s="35"/>
      <c r="S7" s="29" t="s">
        <v>78</v>
      </c>
      <c r="T7" s="36" t="s">
        <v>78</v>
      </c>
    </row>
    <row r="8" spans="2:20" ht="50.5" thickBot="1">
      <c r="B8" s="37">
        <v>4</v>
      </c>
      <c r="C8" s="38" t="s">
        <v>1217</v>
      </c>
      <c r="D8" s="39" t="s">
        <v>30</v>
      </c>
      <c r="E8" s="40" t="s">
        <v>1199</v>
      </c>
      <c r="F8" s="41" t="s">
        <v>1206</v>
      </c>
      <c r="G8" s="38" t="s">
        <v>1207</v>
      </c>
      <c r="H8" s="38" t="s">
        <v>1208</v>
      </c>
      <c r="I8" s="38" t="s">
        <v>1218</v>
      </c>
      <c r="J8" s="38" t="s">
        <v>1219</v>
      </c>
      <c r="K8" s="38" t="s">
        <v>1219</v>
      </c>
      <c r="L8" s="42"/>
      <c r="M8" s="38" t="s">
        <v>1220</v>
      </c>
      <c r="N8" s="38" t="s">
        <v>78</v>
      </c>
      <c r="O8" s="43" t="s">
        <v>78</v>
      </c>
      <c r="P8" s="38" t="s">
        <v>78</v>
      </c>
      <c r="Q8" s="38" t="s">
        <v>78</v>
      </c>
      <c r="R8" s="38" t="s">
        <v>78</v>
      </c>
      <c r="S8" s="38" t="s">
        <v>78</v>
      </c>
      <c r="T8" s="44" t="s">
        <v>78</v>
      </c>
    </row>
    <row r="9" spans="2:20" ht="50.5" thickBot="1">
      <c r="B9" s="28">
        <v>5</v>
      </c>
      <c r="C9" s="29" t="s">
        <v>1221</v>
      </c>
      <c r="D9" s="30" t="s">
        <v>30</v>
      </c>
      <c r="E9" s="31" t="s">
        <v>1199</v>
      </c>
      <c r="F9" s="45" t="s">
        <v>1206</v>
      </c>
      <c r="G9" s="29" t="s">
        <v>1207</v>
      </c>
      <c r="H9" s="29" t="s">
        <v>1222</v>
      </c>
      <c r="I9" s="29" t="s">
        <v>1223</v>
      </c>
      <c r="J9" s="29" t="s">
        <v>1224</v>
      </c>
      <c r="K9" s="29" t="s">
        <v>1225</v>
      </c>
      <c r="L9" s="46">
        <v>10.98</v>
      </c>
      <c r="M9" s="29" t="s">
        <v>1226</v>
      </c>
      <c r="N9" s="29" t="s">
        <v>78</v>
      </c>
      <c r="O9" s="34" t="s">
        <v>78</v>
      </c>
      <c r="P9" s="35"/>
      <c r="Q9" s="29" t="s">
        <v>78</v>
      </c>
      <c r="R9" s="29" t="s">
        <v>78</v>
      </c>
      <c r="S9" s="29" t="s">
        <v>78</v>
      </c>
      <c r="T9" s="36" t="s">
        <v>78</v>
      </c>
    </row>
    <row r="10" spans="2:20" ht="63" thickBot="1">
      <c r="B10" s="37">
        <v>6</v>
      </c>
      <c r="C10" s="38" t="s">
        <v>187</v>
      </c>
      <c r="D10" s="39" t="s">
        <v>30</v>
      </c>
      <c r="E10" s="40" t="s">
        <v>1199</v>
      </c>
      <c r="F10" s="41" t="s">
        <v>1206</v>
      </c>
      <c r="G10" s="38" t="s">
        <v>1207</v>
      </c>
      <c r="H10" s="38" t="s">
        <v>1208</v>
      </c>
      <c r="I10" s="38" t="s">
        <v>1227</v>
      </c>
      <c r="J10" s="38" t="s">
        <v>1228</v>
      </c>
      <c r="K10" s="38" t="s">
        <v>1229</v>
      </c>
      <c r="L10" s="47">
        <v>1</v>
      </c>
      <c r="M10" s="38" t="s">
        <v>1230</v>
      </c>
      <c r="N10" s="38" t="s">
        <v>78</v>
      </c>
      <c r="O10" s="43" t="s">
        <v>78</v>
      </c>
      <c r="P10" s="42"/>
      <c r="Q10" s="38" t="s">
        <v>78</v>
      </c>
      <c r="R10" s="38" t="s">
        <v>78</v>
      </c>
      <c r="S10" s="38" t="s">
        <v>78</v>
      </c>
      <c r="T10" s="44" t="s">
        <v>78</v>
      </c>
    </row>
    <row r="11" spans="2:20" ht="63" thickBot="1">
      <c r="B11" s="28">
        <v>7</v>
      </c>
      <c r="C11" s="29" t="s">
        <v>246</v>
      </c>
      <c r="D11" s="30" t="s">
        <v>30</v>
      </c>
      <c r="E11" s="31" t="s">
        <v>1199</v>
      </c>
      <c r="F11" s="45" t="s">
        <v>1206</v>
      </c>
      <c r="G11" s="29" t="s">
        <v>1231</v>
      </c>
      <c r="H11" s="29" t="s">
        <v>1232</v>
      </c>
      <c r="I11" s="29" t="s">
        <v>1233</v>
      </c>
      <c r="J11" s="29" t="s">
        <v>1234</v>
      </c>
      <c r="K11" s="29" t="s">
        <v>1235</v>
      </c>
      <c r="L11" s="46">
        <v>1.02</v>
      </c>
      <c r="M11" s="29" t="s">
        <v>1236</v>
      </c>
      <c r="N11" s="29" t="s">
        <v>78</v>
      </c>
      <c r="O11" s="34" t="s">
        <v>78</v>
      </c>
      <c r="P11" s="35"/>
      <c r="Q11" s="29" t="s">
        <v>78</v>
      </c>
      <c r="R11" s="29" t="s">
        <v>78</v>
      </c>
      <c r="S11" s="29" t="s">
        <v>78</v>
      </c>
      <c r="T11" s="36" t="s">
        <v>78</v>
      </c>
    </row>
    <row r="12" spans="2:20" ht="63" thickBot="1">
      <c r="B12" s="37">
        <v>8</v>
      </c>
      <c r="C12" s="38" t="s">
        <v>310</v>
      </c>
      <c r="D12" s="39" t="s">
        <v>30</v>
      </c>
      <c r="E12" s="40" t="s">
        <v>1199</v>
      </c>
      <c r="F12" s="41" t="s">
        <v>1206</v>
      </c>
      <c r="G12" s="38" t="s">
        <v>1207</v>
      </c>
      <c r="H12" s="38" t="s">
        <v>1222</v>
      </c>
      <c r="I12" s="47">
        <v>0</v>
      </c>
      <c r="J12" s="38" t="s">
        <v>1237</v>
      </c>
      <c r="K12" s="38" t="s">
        <v>1238</v>
      </c>
      <c r="L12" s="48">
        <v>1.0900000000000001</v>
      </c>
      <c r="M12" s="38" t="s">
        <v>1236</v>
      </c>
      <c r="N12" s="38" t="s">
        <v>78</v>
      </c>
      <c r="O12" s="43" t="s">
        <v>78</v>
      </c>
      <c r="P12" s="42"/>
      <c r="Q12" s="38" t="s">
        <v>78</v>
      </c>
      <c r="R12" s="38" t="s">
        <v>78</v>
      </c>
      <c r="S12" s="38" t="s">
        <v>78</v>
      </c>
      <c r="T12" s="44" t="s">
        <v>78</v>
      </c>
    </row>
    <row r="13" spans="2:20" ht="50.5" thickBot="1">
      <c r="B13" s="28">
        <v>9</v>
      </c>
      <c r="C13" s="29" t="s">
        <v>1239</v>
      </c>
      <c r="D13" s="30" t="s">
        <v>30</v>
      </c>
      <c r="E13" s="31" t="s">
        <v>1199</v>
      </c>
      <c r="F13" s="45" t="s">
        <v>1206</v>
      </c>
      <c r="G13" s="29" t="s">
        <v>1207</v>
      </c>
      <c r="H13" s="29" t="s">
        <v>1222</v>
      </c>
      <c r="I13" s="29" t="s">
        <v>1240</v>
      </c>
      <c r="J13" s="29" t="s">
        <v>1241</v>
      </c>
      <c r="K13" s="29" t="s">
        <v>1242</v>
      </c>
      <c r="L13" s="46">
        <v>114.29</v>
      </c>
      <c r="M13" s="29" t="s">
        <v>1243</v>
      </c>
      <c r="N13" s="29" t="s">
        <v>78</v>
      </c>
      <c r="O13" s="34" t="s">
        <v>78</v>
      </c>
      <c r="P13" s="35"/>
      <c r="Q13" s="29" t="s">
        <v>78</v>
      </c>
      <c r="R13" s="29" t="s">
        <v>78</v>
      </c>
      <c r="S13" s="29" t="s">
        <v>78</v>
      </c>
      <c r="T13" s="36" t="s">
        <v>78</v>
      </c>
    </row>
    <row r="14" spans="2:20" ht="75.5" thickBot="1">
      <c r="B14" s="37">
        <v>10</v>
      </c>
      <c r="C14" s="38" t="s">
        <v>437</v>
      </c>
      <c r="D14" s="39" t="s">
        <v>30</v>
      </c>
      <c r="E14" s="40" t="s">
        <v>1199</v>
      </c>
      <c r="F14" s="41" t="s">
        <v>1206</v>
      </c>
      <c r="G14" s="38" t="s">
        <v>1207</v>
      </c>
      <c r="H14" s="38" t="s">
        <v>1208</v>
      </c>
      <c r="I14" s="47">
        <v>0</v>
      </c>
      <c r="J14" s="38" t="s">
        <v>1244</v>
      </c>
      <c r="K14" s="38" t="s">
        <v>1245</v>
      </c>
      <c r="L14" s="47">
        <v>1</v>
      </c>
      <c r="M14" s="38" t="s">
        <v>1211</v>
      </c>
      <c r="N14" s="38" t="s">
        <v>78</v>
      </c>
      <c r="O14" s="43" t="s">
        <v>78</v>
      </c>
      <c r="P14" s="42"/>
      <c r="Q14" s="38" t="s">
        <v>78</v>
      </c>
      <c r="R14" s="38" t="s">
        <v>78</v>
      </c>
      <c r="S14" s="38" t="s">
        <v>78</v>
      </c>
      <c r="T14" s="44" t="s">
        <v>78</v>
      </c>
    </row>
    <row r="15" spans="2:20" ht="25.5" thickBot="1">
      <c r="B15" s="28">
        <v>11</v>
      </c>
      <c r="C15" s="29" t="s">
        <v>499</v>
      </c>
      <c r="D15" s="30" t="s">
        <v>30</v>
      </c>
      <c r="E15" s="31" t="s">
        <v>1199</v>
      </c>
      <c r="F15" s="32" t="s">
        <v>1059</v>
      </c>
      <c r="G15" s="29" t="s">
        <v>1246</v>
      </c>
      <c r="H15" s="29" t="s">
        <v>1247</v>
      </c>
      <c r="I15" s="29" t="s">
        <v>1248</v>
      </c>
      <c r="J15" s="35"/>
      <c r="K15" s="29" t="s">
        <v>1249</v>
      </c>
      <c r="L15" s="46">
        <v>1.01</v>
      </c>
      <c r="M15" s="29" t="s">
        <v>1250</v>
      </c>
      <c r="N15" s="29" t="s">
        <v>78</v>
      </c>
      <c r="O15" s="34" t="s">
        <v>78</v>
      </c>
      <c r="P15" s="35"/>
      <c r="Q15" s="29" t="s">
        <v>78</v>
      </c>
      <c r="R15" s="35"/>
      <c r="S15" s="29" t="s">
        <v>78</v>
      </c>
      <c r="T15" s="36" t="s">
        <v>78</v>
      </c>
    </row>
    <row r="16" spans="2:20" ht="63" thickBot="1">
      <c r="B16" s="37">
        <v>12</v>
      </c>
      <c r="C16" s="38" t="s">
        <v>555</v>
      </c>
      <c r="D16" s="39" t="s">
        <v>30</v>
      </c>
      <c r="E16" s="40" t="s">
        <v>1199</v>
      </c>
      <c r="F16" s="41" t="s">
        <v>1206</v>
      </c>
      <c r="G16" s="38" t="s">
        <v>1207</v>
      </c>
      <c r="H16" s="38" t="s">
        <v>1208</v>
      </c>
      <c r="I16" s="47">
        <v>0</v>
      </c>
      <c r="J16" s="38" t="s">
        <v>1251</v>
      </c>
      <c r="K16" s="38" t="s">
        <v>1251</v>
      </c>
      <c r="L16" s="47">
        <v>1</v>
      </c>
      <c r="M16" s="38" t="s">
        <v>1252</v>
      </c>
      <c r="N16" s="38" t="s">
        <v>78</v>
      </c>
      <c r="O16" s="43" t="s">
        <v>78</v>
      </c>
      <c r="P16" s="42"/>
      <c r="Q16" s="38" t="s">
        <v>78</v>
      </c>
      <c r="R16" s="38" t="s">
        <v>78</v>
      </c>
      <c r="S16" s="38" t="s">
        <v>78</v>
      </c>
      <c r="T16" s="44" t="s">
        <v>78</v>
      </c>
    </row>
    <row r="17" spans="2:20" ht="50.5" thickBot="1">
      <c r="B17" s="28">
        <v>13</v>
      </c>
      <c r="C17" s="29" t="s">
        <v>606</v>
      </c>
      <c r="D17" s="30" t="s">
        <v>30</v>
      </c>
      <c r="E17" s="31" t="s">
        <v>1199</v>
      </c>
      <c r="F17" s="45" t="s">
        <v>1206</v>
      </c>
      <c r="G17" s="29" t="s">
        <v>1207</v>
      </c>
      <c r="H17" s="29" t="s">
        <v>1253</v>
      </c>
      <c r="I17" s="29" t="s">
        <v>1254</v>
      </c>
      <c r="J17" s="29" t="s">
        <v>1255</v>
      </c>
      <c r="K17" s="29" t="s">
        <v>1256</v>
      </c>
      <c r="L17" s="46">
        <v>11.47</v>
      </c>
      <c r="M17" s="29" t="s">
        <v>1257</v>
      </c>
      <c r="N17" s="29" t="s">
        <v>78</v>
      </c>
      <c r="O17" s="34" t="s">
        <v>78</v>
      </c>
      <c r="P17" s="35"/>
      <c r="Q17" s="29" t="s">
        <v>78</v>
      </c>
      <c r="R17" s="29" t="s">
        <v>78</v>
      </c>
      <c r="S17" s="29" t="s">
        <v>78</v>
      </c>
      <c r="T17" s="36" t="s">
        <v>78</v>
      </c>
    </row>
    <row r="18" spans="2:20" ht="50.5" thickBot="1">
      <c r="B18" s="37">
        <v>14</v>
      </c>
      <c r="C18" s="38" t="s">
        <v>663</v>
      </c>
      <c r="D18" s="39" t="s">
        <v>30</v>
      </c>
      <c r="E18" s="40" t="s">
        <v>1199</v>
      </c>
      <c r="F18" s="41" t="s">
        <v>1206</v>
      </c>
      <c r="G18" s="38" t="s">
        <v>1258</v>
      </c>
      <c r="H18" s="38" t="s">
        <v>1259</v>
      </c>
      <c r="I18" s="47">
        <v>0</v>
      </c>
      <c r="J18" s="47">
        <v>0</v>
      </c>
      <c r="K18" s="38" t="s">
        <v>1260</v>
      </c>
      <c r="L18" s="48">
        <v>11.27</v>
      </c>
      <c r="M18" s="38" t="s">
        <v>669</v>
      </c>
      <c r="N18" s="42"/>
      <c r="O18" s="43" t="s">
        <v>78</v>
      </c>
      <c r="P18" s="42"/>
      <c r="Q18" s="38" t="s">
        <v>78</v>
      </c>
      <c r="R18" s="38" t="s">
        <v>78</v>
      </c>
      <c r="S18" s="38" t="s">
        <v>78</v>
      </c>
      <c r="T18" s="44" t="s">
        <v>78</v>
      </c>
    </row>
    <row r="19" spans="2:20" ht="50.5" thickBot="1">
      <c r="B19" s="28">
        <v>15</v>
      </c>
      <c r="C19" s="29" t="s">
        <v>723</v>
      </c>
      <c r="D19" s="30" t="s">
        <v>30</v>
      </c>
      <c r="E19" s="49" t="s">
        <v>1261</v>
      </c>
      <c r="F19" s="45" t="s">
        <v>1206</v>
      </c>
      <c r="G19" s="29" t="s">
        <v>1207</v>
      </c>
      <c r="H19" s="29" t="s">
        <v>1222</v>
      </c>
      <c r="I19" s="29" t="s">
        <v>1262</v>
      </c>
      <c r="J19" s="29" t="s">
        <v>1263</v>
      </c>
      <c r="K19" s="29" t="s">
        <v>1263</v>
      </c>
      <c r="L19" s="46">
        <v>1.01</v>
      </c>
      <c r="M19" s="29" t="s">
        <v>1264</v>
      </c>
      <c r="N19" s="35"/>
      <c r="O19" s="50" t="s">
        <v>1265</v>
      </c>
      <c r="P19" s="29" t="s">
        <v>78</v>
      </c>
      <c r="Q19" s="29" t="s">
        <v>78</v>
      </c>
      <c r="R19" s="29" t="s">
        <v>78</v>
      </c>
      <c r="S19" s="29" t="s">
        <v>78</v>
      </c>
      <c r="T19" s="36" t="s">
        <v>78</v>
      </c>
    </row>
    <row r="20" spans="2:20" ht="50.5" thickBot="1">
      <c r="B20" s="37">
        <v>16</v>
      </c>
      <c r="C20" s="38" t="s">
        <v>779</v>
      </c>
      <c r="D20" s="39" t="s">
        <v>30</v>
      </c>
      <c r="E20" s="40" t="s">
        <v>1199</v>
      </c>
      <c r="F20" s="41" t="s">
        <v>1206</v>
      </c>
      <c r="G20" s="38" t="s">
        <v>1207</v>
      </c>
      <c r="H20" s="38" t="s">
        <v>1208</v>
      </c>
      <c r="I20" s="47">
        <v>0</v>
      </c>
      <c r="J20" s="38" t="s">
        <v>1266</v>
      </c>
      <c r="K20" s="38" t="s">
        <v>1266</v>
      </c>
      <c r="L20" s="47">
        <v>1</v>
      </c>
      <c r="M20" s="38" t="s">
        <v>1267</v>
      </c>
      <c r="N20" s="38" t="s">
        <v>78</v>
      </c>
      <c r="O20" s="43" t="s">
        <v>78</v>
      </c>
      <c r="P20" s="42"/>
      <c r="Q20" s="38" t="s">
        <v>78</v>
      </c>
      <c r="R20" s="38" t="s">
        <v>78</v>
      </c>
      <c r="S20" s="38" t="s">
        <v>78</v>
      </c>
      <c r="T20" s="44" t="s">
        <v>78</v>
      </c>
    </row>
    <row r="21" spans="2:20" ht="50.5" thickBot="1">
      <c r="B21" s="28">
        <v>17</v>
      </c>
      <c r="C21" s="29" t="s">
        <v>830</v>
      </c>
      <c r="D21" s="30" t="s">
        <v>30</v>
      </c>
      <c r="E21" s="31" t="s">
        <v>1199</v>
      </c>
      <c r="F21" s="45" t="s">
        <v>1206</v>
      </c>
      <c r="G21" s="29" t="s">
        <v>1207</v>
      </c>
      <c r="H21" s="29" t="s">
        <v>1208</v>
      </c>
      <c r="I21" s="29" t="s">
        <v>1268</v>
      </c>
      <c r="J21" s="35"/>
      <c r="K21" s="29" t="s">
        <v>1269</v>
      </c>
      <c r="L21" s="46">
        <v>1.24</v>
      </c>
      <c r="M21" s="29" t="s">
        <v>1270</v>
      </c>
      <c r="N21" s="29" t="s">
        <v>78</v>
      </c>
      <c r="O21" s="34" t="s">
        <v>78</v>
      </c>
      <c r="P21" s="35"/>
      <c r="Q21" s="29" t="s">
        <v>78</v>
      </c>
      <c r="R21" s="29" t="s">
        <v>78</v>
      </c>
      <c r="S21" s="29" t="s">
        <v>78</v>
      </c>
      <c r="T21" s="36" t="s">
        <v>78</v>
      </c>
    </row>
    <row r="22" spans="2:20" ht="50.5" thickBot="1">
      <c r="B22" s="37">
        <v>18</v>
      </c>
      <c r="C22" s="38" t="s">
        <v>890</v>
      </c>
      <c r="D22" s="39" t="s">
        <v>30</v>
      </c>
      <c r="E22" s="40" t="s">
        <v>1199</v>
      </c>
      <c r="F22" s="41" t="s">
        <v>1206</v>
      </c>
      <c r="G22" s="38" t="s">
        <v>1207</v>
      </c>
      <c r="H22" s="38" t="s">
        <v>1222</v>
      </c>
      <c r="I22" s="47">
        <v>0</v>
      </c>
      <c r="J22" s="42"/>
      <c r="K22" s="38" t="s">
        <v>1271</v>
      </c>
      <c r="L22" s="48">
        <v>1.07</v>
      </c>
      <c r="M22" s="38" t="s">
        <v>1272</v>
      </c>
      <c r="N22" s="38" t="s">
        <v>78</v>
      </c>
      <c r="O22" s="43" t="s">
        <v>78</v>
      </c>
      <c r="P22" s="42"/>
      <c r="Q22" s="38" t="s">
        <v>78</v>
      </c>
      <c r="R22" s="38" t="s">
        <v>78</v>
      </c>
      <c r="S22" s="38" t="s">
        <v>78</v>
      </c>
      <c r="T22" s="44" t="s">
        <v>78</v>
      </c>
    </row>
    <row r="23" spans="2:20" ht="38" thickBot="1">
      <c r="B23" s="28">
        <v>19</v>
      </c>
      <c r="C23" s="29" t="s">
        <v>1273</v>
      </c>
      <c r="D23" s="30" t="s">
        <v>30</v>
      </c>
      <c r="E23" s="31" t="s">
        <v>1199</v>
      </c>
      <c r="F23" s="45" t="s">
        <v>1206</v>
      </c>
      <c r="G23" s="29" t="s">
        <v>1274</v>
      </c>
      <c r="H23" s="29" t="s">
        <v>1275</v>
      </c>
      <c r="I23" s="33">
        <v>0</v>
      </c>
      <c r="J23" s="29" t="s">
        <v>1276</v>
      </c>
      <c r="K23" s="29" t="s">
        <v>1276</v>
      </c>
      <c r="L23" s="46">
        <v>90.54</v>
      </c>
      <c r="M23" s="29" t="s">
        <v>1277</v>
      </c>
      <c r="N23" s="29" t="s">
        <v>78</v>
      </c>
      <c r="O23" s="50" t="s">
        <v>1265</v>
      </c>
      <c r="P23" s="35"/>
      <c r="Q23" s="29" t="s">
        <v>78</v>
      </c>
      <c r="R23" s="29" t="s">
        <v>78</v>
      </c>
      <c r="S23" s="29" t="s">
        <v>78</v>
      </c>
      <c r="T23" s="36" t="s">
        <v>78</v>
      </c>
    </row>
    <row r="24" spans="2:20" ht="38" thickBot="1">
      <c r="B24" s="37">
        <v>20</v>
      </c>
      <c r="C24" s="38" t="s">
        <v>1278</v>
      </c>
      <c r="D24" s="39" t="s">
        <v>30</v>
      </c>
      <c r="E24" s="40" t="s">
        <v>1199</v>
      </c>
      <c r="F24" s="51" t="s">
        <v>1059</v>
      </c>
      <c r="G24" s="38" t="s">
        <v>1231</v>
      </c>
      <c r="H24" s="38" t="s">
        <v>1279</v>
      </c>
      <c r="I24" s="38" t="s">
        <v>1280</v>
      </c>
      <c r="J24" s="38" t="s">
        <v>1281</v>
      </c>
      <c r="K24" s="38" t="s">
        <v>1282</v>
      </c>
      <c r="L24" s="48">
        <v>1.05</v>
      </c>
      <c r="M24" s="38" t="s">
        <v>1283</v>
      </c>
      <c r="N24" s="38" t="s">
        <v>78</v>
      </c>
      <c r="O24" s="43" t="s">
        <v>78</v>
      </c>
      <c r="P24" s="42"/>
      <c r="Q24" s="38" t="s">
        <v>78</v>
      </c>
      <c r="R24" s="42"/>
      <c r="S24" s="38" t="s">
        <v>78</v>
      </c>
      <c r="T24" s="44" t="s">
        <v>78</v>
      </c>
    </row>
    <row r="25" spans="2:20" ht="38" thickBot="1">
      <c r="B25" s="28">
        <v>21</v>
      </c>
      <c r="C25" s="29" t="s">
        <v>1284</v>
      </c>
      <c r="D25" s="30" t="s">
        <v>30</v>
      </c>
      <c r="E25" s="31" t="s">
        <v>1199</v>
      </c>
      <c r="F25" s="32" t="s">
        <v>1059</v>
      </c>
      <c r="G25" s="29" t="s">
        <v>1258</v>
      </c>
      <c r="H25" s="29" t="s">
        <v>1259</v>
      </c>
      <c r="I25" s="29" t="s">
        <v>1285</v>
      </c>
      <c r="J25" s="29" t="s">
        <v>1286</v>
      </c>
      <c r="K25" s="29" t="s">
        <v>1287</v>
      </c>
      <c r="L25" s="46">
        <v>417.08</v>
      </c>
      <c r="M25" s="29" t="s">
        <v>1288</v>
      </c>
      <c r="N25" s="29" t="s">
        <v>78</v>
      </c>
      <c r="O25" s="34" t="s">
        <v>78</v>
      </c>
      <c r="P25" s="29" t="s">
        <v>78</v>
      </c>
      <c r="Q25" s="29" t="s">
        <v>78</v>
      </c>
      <c r="R25" s="35"/>
      <c r="S25" s="29" t="s">
        <v>78</v>
      </c>
      <c r="T25" s="36" t="s">
        <v>78</v>
      </c>
    </row>
    <row r="26" spans="2:20" ht="63" thickBot="1">
      <c r="B26" s="37">
        <v>22</v>
      </c>
      <c r="C26" s="38" t="s">
        <v>1289</v>
      </c>
      <c r="D26" s="39" t="s">
        <v>30</v>
      </c>
      <c r="E26" s="40" t="s">
        <v>1199</v>
      </c>
      <c r="F26" s="41" t="s">
        <v>1206</v>
      </c>
      <c r="G26" s="38" t="s">
        <v>1231</v>
      </c>
      <c r="H26" s="38" t="s">
        <v>1279</v>
      </c>
      <c r="I26" s="38" t="s">
        <v>1290</v>
      </c>
      <c r="J26" s="38" t="s">
        <v>1291</v>
      </c>
      <c r="K26" s="38" t="s">
        <v>1291</v>
      </c>
      <c r="L26" s="47">
        <v>1097</v>
      </c>
      <c r="M26" s="38" t="s">
        <v>1292</v>
      </c>
      <c r="N26" s="38" t="s">
        <v>78</v>
      </c>
      <c r="O26" s="43" t="s">
        <v>78</v>
      </c>
      <c r="P26" s="42"/>
      <c r="Q26" s="38" t="s">
        <v>78</v>
      </c>
      <c r="R26" s="38" t="s">
        <v>78</v>
      </c>
      <c r="S26" s="38" t="s">
        <v>78</v>
      </c>
      <c r="T26" s="44" t="s">
        <v>78</v>
      </c>
    </row>
    <row r="27" spans="2:20" ht="50.5" thickBot="1">
      <c r="B27" s="28">
        <v>23</v>
      </c>
      <c r="C27" s="29" t="s">
        <v>1293</v>
      </c>
      <c r="D27" s="30" t="s">
        <v>30</v>
      </c>
      <c r="E27" s="31" t="s">
        <v>1199</v>
      </c>
      <c r="F27" s="45" t="s">
        <v>1206</v>
      </c>
      <c r="G27" s="29" t="s">
        <v>1207</v>
      </c>
      <c r="H27" s="29" t="s">
        <v>1232</v>
      </c>
      <c r="I27" s="33">
        <v>0</v>
      </c>
      <c r="J27" s="29" t="s">
        <v>1294</v>
      </c>
      <c r="K27" s="29" t="s">
        <v>1294</v>
      </c>
      <c r="L27" s="33">
        <v>1007</v>
      </c>
      <c r="M27" s="29" t="s">
        <v>1295</v>
      </c>
      <c r="N27" s="29" t="s">
        <v>78</v>
      </c>
      <c r="O27" s="50" t="s">
        <v>1265</v>
      </c>
      <c r="P27" s="35"/>
      <c r="Q27" s="29" t="s">
        <v>78</v>
      </c>
      <c r="R27" s="29" t="s">
        <v>78</v>
      </c>
      <c r="S27" s="29" t="s">
        <v>78</v>
      </c>
      <c r="T27" s="36" t="s">
        <v>78</v>
      </c>
    </row>
    <row r="28" spans="2:20" ht="38" thickBot="1">
      <c r="B28" s="37">
        <v>24</v>
      </c>
      <c r="C28" s="38" t="s">
        <v>1296</v>
      </c>
      <c r="D28" s="39" t="s">
        <v>30</v>
      </c>
      <c r="E28" s="40" t="s">
        <v>1199</v>
      </c>
      <c r="F28" s="51" t="s">
        <v>1059</v>
      </c>
      <c r="G28" s="38" t="s">
        <v>1200</v>
      </c>
      <c r="H28" s="38" t="s">
        <v>1201</v>
      </c>
      <c r="I28" s="38" t="s">
        <v>1297</v>
      </c>
      <c r="J28" s="38" t="s">
        <v>1298</v>
      </c>
      <c r="K28" s="38" t="s">
        <v>1298</v>
      </c>
      <c r="L28" s="47">
        <v>5002</v>
      </c>
      <c r="M28" s="38" t="s">
        <v>1299</v>
      </c>
      <c r="N28" s="38" t="s">
        <v>78</v>
      </c>
      <c r="O28" s="43" t="s">
        <v>78</v>
      </c>
      <c r="P28" s="42"/>
      <c r="Q28" s="38" t="s">
        <v>78</v>
      </c>
      <c r="R28" s="42"/>
      <c r="S28" s="38" t="s">
        <v>78</v>
      </c>
      <c r="T28" s="44" t="s">
        <v>78</v>
      </c>
    </row>
    <row r="29" spans="2:20" ht="38" thickBot="1">
      <c r="B29" s="28">
        <v>25</v>
      </c>
      <c r="C29" s="29" t="s">
        <v>1300</v>
      </c>
      <c r="D29" s="30" t="s">
        <v>30</v>
      </c>
      <c r="E29" s="31" t="s">
        <v>1199</v>
      </c>
      <c r="F29" s="32" t="s">
        <v>1059</v>
      </c>
      <c r="G29" s="29" t="s">
        <v>1231</v>
      </c>
      <c r="H29" s="29" t="s">
        <v>1301</v>
      </c>
      <c r="I29" s="29" t="s">
        <v>1302</v>
      </c>
      <c r="J29" s="29" t="s">
        <v>1303</v>
      </c>
      <c r="K29" s="29" t="s">
        <v>1304</v>
      </c>
      <c r="L29" s="46">
        <v>1.07</v>
      </c>
      <c r="M29" s="29" t="s">
        <v>1305</v>
      </c>
      <c r="N29" s="29" t="s">
        <v>78</v>
      </c>
      <c r="O29" s="34" t="s">
        <v>78</v>
      </c>
      <c r="P29" s="35"/>
      <c r="Q29" s="29" t="s">
        <v>78</v>
      </c>
      <c r="R29" s="35"/>
      <c r="S29" s="29" t="s">
        <v>78</v>
      </c>
      <c r="T29" s="36" t="s">
        <v>78</v>
      </c>
    </row>
    <row r="30" spans="2:20" ht="50.5" thickBot="1">
      <c r="B30" s="37">
        <v>26</v>
      </c>
      <c r="C30" s="38" t="s">
        <v>1306</v>
      </c>
      <c r="D30" s="39" t="s">
        <v>30</v>
      </c>
      <c r="E30" s="40" t="s">
        <v>1199</v>
      </c>
      <c r="F30" s="41" t="s">
        <v>1206</v>
      </c>
      <c r="G30" s="38" t="s">
        <v>1207</v>
      </c>
      <c r="H30" s="38" t="s">
        <v>1222</v>
      </c>
      <c r="I30" s="47">
        <v>0</v>
      </c>
      <c r="J30" s="38" t="s">
        <v>1307</v>
      </c>
      <c r="K30" s="38" t="s">
        <v>1307</v>
      </c>
      <c r="L30" s="42"/>
      <c r="M30" s="38" t="s">
        <v>1308</v>
      </c>
      <c r="N30" s="38" t="s">
        <v>78</v>
      </c>
      <c r="O30" s="43" t="s">
        <v>78</v>
      </c>
      <c r="P30" s="42"/>
      <c r="Q30" s="38" t="s">
        <v>78</v>
      </c>
      <c r="R30" s="38" t="s">
        <v>78</v>
      </c>
      <c r="S30" s="38" t="s">
        <v>78</v>
      </c>
      <c r="T30" s="44" t="s">
        <v>78</v>
      </c>
    </row>
    <row r="31" spans="2:20" ht="38" thickBot="1">
      <c r="B31" s="28">
        <v>27</v>
      </c>
      <c r="C31" s="29" t="s">
        <v>1309</v>
      </c>
      <c r="D31" s="30" t="s">
        <v>30</v>
      </c>
      <c r="E31" s="31" t="s">
        <v>1199</v>
      </c>
      <c r="F31" s="32" t="s">
        <v>1059</v>
      </c>
      <c r="G31" s="29" t="s">
        <v>1258</v>
      </c>
      <c r="H31" s="29" t="s">
        <v>1259</v>
      </c>
      <c r="I31" s="29" t="s">
        <v>1310</v>
      </c>
      <c r="J31" s="29" t="s">
        <v>1311</v>
      </c>
      <c r="K31" s="29" t="s">
        <v>1312</v>
      </c>
      <c r="L31" s="46">
        <v>182.96</v>
      </c>
      <c r="M31" s="29" t="s">
        <v>1288</v>
      </c>
      <c r="N31" s="29" t="s">
        <v>78</v>
      </c>
      <c r="O31" s="34" t="s">
        <v>78</v>
      </c>
      <c r="P31" s="29" t="s">
        <v>78</v>
      </c>
      <c r="Q31" s="29" t="s">
        <v>78</v>
      </c>
      <c r="R31" s="35"/>
      <c r="S31" s="29" t="s">
        <v>78</v>
      </c>
      <c r="T31" s="36" t="s">
        <v>78</v>
      </c>
    </row>
    <row r="32" spans="2:20" ht="38" thickBot="1">
      <c r="B32" s="37">
        <v>28</v>
      </c>
      <c r="C32" s="38" t="s">
        <v>1313</v>
      </c>
      <c r="D32" s="39" t="s">
        <v>30</v>
      </c>
      <c r="E32" s="40" t="s">
        <v>1199</v>
      </c>
      <c r="F32" s="51" t="s">
        <v>1059</v>
      </c>
      <c r="G32" s="38" t="s">
        <v>1258</v>
      </c>
      <c r="H32" s="38" t="s">
        <v>1259</v>
      </c>
      <c r="I32" s="38" t="s">
        <v>1314</v>
      </c>
      <c r="J32" s="38" t="s">
        <v>1315</v>
      </c>
      <c r="K32" s="38" t="s">
        <v>1316</v>
      </c>
      <c r="L32" s="48">
        <v>60.43</v>
      </c>
      <c r="M32" s="38" t="s">
        <v>1288</v>
      </c>
      <c r="N32" s="38" t="s">
        <v>78</v>
      </c>
      <c r="O32" s="43" t="s">
        <v>78</v>
      </c>
      <c r="P32" s="38" t="s">
        <v>78</v>
      </c>
      <c r="Q32" s="38" t="s">
        <v>78</v>
      </c>
      <c r="R32" s="42"/>
      <c r="S32" s="38" t="s">
        <v>78</v>
      </c>
      <c r="T32" s="44" t="s">
        <v>78</v>
      </c>
    </row>
    <row r="33" spans="2:20" ht="50.5" thickBot="1">
      <c r="B33" s="28">
        <v>29</v>
      </c>
      <c r="C33" s="29" t="s">
        <v>1317</v>
      </c>
      <c r="D33" s="30" t="s">
        <v>30</v>
      </c>
      <c r="E33" s="31" t="s">
        <v>1199</v>
      </c>
      <c r="F33" s="45" t="s">
        <v>1206</v>
      </c>
      <c r="G33" s="29" t="s">
        <v>1207</v>
      </c>
      <c r="H33" s="29" t="s">
        <v>1208</v>
      </c>
      <c r="I33" s="29" t="s">
        <v>1318</v>
      </c>
      <c r="J33" s="29" t="s">
        <v>1319</v>
      </c>
      <c r="K33" s="29" t="s">
        <v>1319</v>
      </c>
      <c r="L33" s="33">
        <v>1</v>
      </c>
      <c r="M33" s="29" t="s">
        <v>1320</v>
      </c>
      <c r="N33" s="29" t="s">
        <v>78</v>
      </c>
      <c r="O33" s="34" t="s">
        <v>78</v>
      </c>
      <c r="P33" s="35"/>
      <c r="Q33" s="29" t="s">
        <v>78</v>
      </c>
      <c r="R33" s="29" t="s">
        <v>78</v>
      </c>
      <c r="S33" s="29" t="s">
        <v>78</v>
      </c>
      <c r="T33" s="36" t="s">
        <v>78</v>
      </c>
    </row>
    <row r="34" spans="2:20" ht="38" thickBot="1">
      <c r="B34" s="37">
        <v>30</v>
      </c>
      <c r="C34" s="38" t="s">
        <v>1321</v>
      </c>
      <c r="D34" s="39" t="s">
        <v>30</v>
      </c>
      <c r="E34" s="40" t="s">
        <v>1199</v>
      </c>
      <c r="F34" s="51" t="s">
        <v>1059</v>
      </c>
      <c r="G34" s="38" t="s">
        <v>1258</v>
      </c>
      <c r="H34" s="38" t="s">
        <v>1322</v>
      </c>
      <c r="I34" s="38" t="s">
        <v>1323</v>
      </c>
      <c r="J34" s="38" t="s">
        <v>1324</v>
      </c>
      <c r="K34" s="38" t="s">
        <v>1325</v>
      </c>
      <c r="L34" s="48">
        <v>682.26</v>
      </c>
      <c r="M34" s="38" t="s">
        <v>1288</v>
      </c>
      <c r="N34" s="38" t="s">
        <v>78</v>
      </c>
      <c r="O34" s="43" t="s">
        <v>78</v>
      </c>
      <c r="P34" s="38" t="s">
        <v>78</v>
      </c>
      <c r="Q34" s="38" t="s">
        <v>78</v>
      </c>
      <c r="R34" s="42"/>
      <c r="S34" s="38" t="s">
        <v>78</v>
      </c>
      <c r="T34" s="44" t="s">
        <v>78</v>
      </c>
    </row>
    <row r="35" spans="2:20" ht="38" thickBot="1">
      <c r="B35" s="28">
        <v>31</v>
      </c>
      <c r="C35" s="29" t="s">
        <v>1326</v>
      </c>
      <c r="D35" s="30" t="s">
        <v>30</v>
      </c>
      <c r="E35" s="31" t="s">
        <v>1199</v>
      </c>
      <c r="F35" s="32" t="s">
        <v>1059</v>
      </c>
      <c r="G35" s="29" t="s">
        <v>1258</v>
      </c>
      <c r="H35" s="29" t="s">
        <v>1259</v>
      </c>
      <c r="I35" s="33">
        <v>984020</v>
      </c>
      <c r="J35" s="29" t="s">
        <v>1327</v>
      </c>
      <c r="K35" s="29" t="s">
        <v>1328</v>
      </c>
      <c r="L35" s="46">
        <v>305.93</v>
      </c>
      <c r="M35" s="29" t="s">
        <v>1288</v>
      </c>
      <c r="N35" s="29" t="s">
        <v>78</v>
      </c>
      <c r="O35" s="34" t="s">
        <v>78</v>
      </c>
      <c r="P35" s="29" t="s">
        <v>78</v>
      </c>
      <c r="Q35" s="29" t="s">
        <v>78</v>
      </c>
      <c r="R35" s="35"/>
      <c r="S35" s="29" t="s">
        <v>78</v>
      </c>
      <c r="T35" s="36" t="s">
        <v>78</v>
      </c>
    </row>
    <row r="36" spans="2:20" ht="38" thickBot="1">
      <c r="B36" s="37">
        <v>32</v>
      </c>
      <c r="C36" s="38" t="s">
        <v>1329</v>
      </c>
      <c r="D36" s="39" t="s">
        <v>30</v>
      </c>
      <c r="E36" s="40" t="s">
        <v>1199</v>
      </c>
      <c r="F36" s="51" t="s">
        <v>1059</v>
      </c>
      <c r="G36" s="38" t="s">
        <v>1258</v>
      </c>
      <c r="H36" s="38" t="s">
        <v>1322</v>
      </c>
      <c r="I36" s="38" t="s">
        <v>1330</v>
      </c>
      <c r="J36" s="38" t="s">
        <v>1331</v>
      </c>
      <c r="K36" s="38" t="s">
        <v>1332</v>
      </c>
      <c r="L36" s="48">
        <v>600.23</v>
      </c>
      <c r="M36" s="38" t="s">
        <v>1288</v>
      </c>
      <c r="N36" s="38" t="s">
        <v>78</v>
      </c>
      <c r="O36" s="43" t="s">
        <v>78</v>
      </c>
      <c r="P36" s="38" t="s">
        <v>78</v>
      </c>
      <c r="Q36" s="38" t="s">
        <v>78</v>
      </c>
      <c r="R36" s="42"/>
      <c r="S36" s="38" t="s">
        <v>78</v>
      </c>
      <c r="T36" s="44" t="s">
        <v>78</v>
      </c>
    </row>
    <row r="37" spans="2:20" ht="50.5" thickBot="1">
      <c r="B37" s="28">
        <v>33</v>
      </c>
      <c r="C37" s="29" t="s">
        <v>1333</v>
      </c>
      <c r="D37" s="30" t="s">
        <v>30</v>
      </c>
      <c r="E37" s="31" t="s">
        <v>1199</v>
      </c>
      <c r="F37" s="45" t="s">
        <v>1206</v>
      </c>
      <c r="G37" s="29" t="s">
        <v>1207</v>
      </c>
      <c r="H37" s="29" t="s">
        <v>1222</v>
      </c>
      <c r="I37" s="29" t="s">
        <v>1334</v>
      </c>
      <c r="J37" s="35"/>
      <c r="K37" s="29" t="s">
        <v>1335</v>
      </c>
      <c r="L37" s="46">
        <v>1.03</v>
      </c>
      <c r="M37" s="29" t="s">
        <v>1336</v>
      </c>
      <c r="N37" s="29" t="s">
        <v>78</v>
      </c>
      <c r="O37" s="34" t="s">
        <v>78</v>
      </c>
      <c r="P37" s="35"/>
      <c r="Q37" s="29" t="s">
        <v>78</v>
      </c>
      <c r="R37" s="29" t="s">
        <v>78</v>
      </c>
      <c r="S37" s="29" t="s">
        <v>78</v>
      </c>
      <c r="T37" s="36" t="s">
        <v>78</v>
      </c>
    </row>
    <row r="38" spans="2:20" ht="38" thickBot="1">
      <c r="B38" s="37">
        <v>34</v>
      </c>
      <c r="C38" s="38" t="s">
        <v>1337</v>
      </c>
      <c r="D38" s="39" t="s">
        <v>30</v>
      </c>
      <c r="E38" s="40" t="s">
        <v>1199</v>
      </c>
      <c r="F38" s="51" t="s">
        <v>1059</v>
      </c>
      <c r="G38" s="38" t="s">
        <v>1258</v>
      </c>
      <c r="H38" s="38" t="s">
        <v>1259</v>
      </c>
      <c r="I38" s="47">
        <v>62394</v>
      </c>
      <c r="J38" s="38" t="s">
        <v>1285</v>
      </c>
      <c r="K38" s="38" t="s">
        <v>1338</v>
      </c>
      <c r="L38" s="48">
        <v>639.64</v>
      </c>
      <c r="M38" s="38" t="s">
        <v>1288</v>
      </c>
      <c r="N38" s="38" t="s">
        <v>78</v>
      </c>
      <c r="O38" s="43" t="s">
        <v>78</v>
      </c>
      <c r="P38" s="38" t="s">
        <v>78</v>
      </c>
      <c r="Q38" s="38" t="s">
        <v>78</v>
      </c>
      <c r="R38" s="42"/>
      <c r="S38" s="38" t="s">
        <v>78</v>
      </c>
      <c r="T38" s="44" t="s">
        <v>78</v>
      </c>
    </row>
    <row r="39" spans="2:20" ht="38" thickBot="1">
      <c r="B39" s="28">
        <v>35</v>
      </c>
      <c r="C39" s="29" t="s">
        <v>1339</v>
      </c>
      <c r="D39" s="30" t="s">
        <v>30</v>
      </c>
      <c r="E39" s="31" t="s">
        <v>1199</v>
      </c>
      <c r="F39" s="32" t="s">
        <v>1059</v>
      </c>
      <c r="G39" s="29" t="s">
        <v>1258</v>
      </c>
      <c r="H39" s="29" t="s">
        <v>1259</v>
      </c>
      <c r="I39" s="33">
        <v>929677</v>
      </c>
      <c r="J39" s="29" t="s">
        <v>1327</v>
      </c>
      <c r="K39" s="29" t="s">
        <v>1340</v>
      </c>
      <c r="L39" s="46">
        <v>135.88</v>
      </c>
      <c r="M39" s="29" t="s">
        <v>1288</v>
      </c>
      <c r="N39" s="29" t="s">
        <v>78</v>
      </c>
      <c r="O39" s="34" t="s">
        <v>78</v>
      </c>
      <c r="P39" s="29" t="s">
        <v>78</v>
      </c>
      <c r="Q39" s="29" t="s">
        <v>78</v>
      </c>
      <c r="R39" s="35"/>
      <c r="S39" s="29" t="s">
        <v>78</v>
      </c>
      <c r="T39" s="36" t="s">
        <v>78</v>
      </c>
    </row>
    <row r="40" spans="2:20" ht="38" thickBot="1">
      <c r="B40" s="37">
        <v>36</v>
      </c>
      <c r="C40" s="38" t="s">
        <v>1341</v>
      </c>
      <c r="D40" s="39" t="s">
        <v>30</v>
      </c>
      <c r="E40" s="40" t="s">
        <v>1199</v>
      </c>
      <c r="F40" s="51" t="s">
        <v>1059</v>
      </c>
      <c r="G40" s="38" t="s">
        <v>1258</v>
      </c>
      <c r="H40" s="38" t="s">
        <v>1259</v>
      </c>
      <c r="I40" s="47">
        <v>109624</v>
      </c>
      <c r="J40" s="38" t="s">
        <v>1342</v>
      </c>
      <c r="K40" s="38" t="s">
        <v>1343</v>
      </c>
      <c r="L40" s="48">
        <v>255.95</v>
      </c>
      <c r="M40" s="38" t="s">
        <v>1288</v>
      </c>
      <c r="N40" s="38" t="s">
        <v>78</v>
      </c>
      <c r="O40" s="43" t="s">
        <v>78</v>
      </c>
      <c r="P40" s="38" t="s">
        <v>78</v>
      </c>
      <c r="Q40" s="38" t="s">
        <v>78</v>
      </c>
      <c r="R40" s="42"/>
      <c r="S40" s="38" t="s">
        <v>78</v>
      </c>
      <c r="T40" s="44" t="s">
        <v>78</v>
      </c>
    </row>
    <row r="41" spans="2:20" ht="38" thickBot="1">
      <c r="B41" s="28">
        <v>37</v>
      </c>
      <c r="C41" s="29" t="s">
        <v>1344</v>
      </c>
      <c r="D41" s="30" t="s">
        <v>30</v>
      </c>
      <c r="E41" s="31" t="s">
        <v>1199</v>
      </c>
      <c r="F41" s="32" t="s">
        <v>1059</v>
      </c>
      <c r="G41" s="29" t="s">
        <v>1274</v>
      </c>
      <c r="H41" s="29" t="s">
        <v>1345</v>
      </c>
      <c r="I41" s="29" t="s">
        <v>1346</v>
      </c>
      <c r="J41" s="35"/>
      <c r="K41" s="29" t="s">
        <v>1347</v>
      </c>
      <c r="L41" s="46">
        <v>1.28</v>
      </c>
      <c r="M41" s="29" t="s">
        <v>1348</v>
      </c>
      <c r="N41" s="29" t="s">
        <v>78</v>
      </c>
      <c r="O41" s="34" t="s">
        <v>78</v>
      </c>
      <c r="P41" s="35"/>
      <c r="Q41" s="29" t="s">
        <v>78</v>
      </c>
      <c r="R41" s="35"/>
      <c r="S41" s="29" t="s">
        <v>78</v>
      </c>
      <c r="T41" s="36" t="s">
        <v>78</v>
      </c>
    </row>
    <row r="42" spans="2:20" ht="38" thickBot="1">
      <c r="B42" s="37">
        <v>38</v>
      </c>
      <c r="C42" s="38" t="s">
        <v>1349</v>
      </c>
      <c r="D42" s="39" t="s">
        <v>30</v>
      </c>
      <c r="E42" s="40" t="s">
        <v>1199</v>
      </c>
      <c r="F42" s="51" t="s">
        <v>1059</v>
      </c>
      <c r="G42" s="38" t="s">
        <v>1200</v>
      </c>
      <c r="H42" s="38" t="s">
        <v>1201</v>
      </c>
      <c r="I42" s="38" t="s">
        <v>1350</v>
      </c>
      <c r="J42" s="38" t="s">
        <v>1351</v>
      </c>
      <c r="K42" s="38" t="s">
        <v>1351</v>
      </c>
      <c r="L42" s="47">
        <v>4977</v>
      </c>
      <c r="M42" s="38" t="s">
        <v>1352</v>
      </c>
      <c r="N42" s="38" t="s">
        <v>78</v>
      </c>
      <c r="O42" s="43" t="s">
        <v>78</v>
      </c>
      <c r="P42" s="42"/>
      <c r="Q42" s="38" t="s">
        <v>78</v>
      </c>
      <c r="R42" s="42"/>
      <c r="S42" s="38" t="s">
        <v>78</v>
      </c>
      <c r="T42" s="44" t="s">
        <v>78</v>
      </c>
    </row>
    <row r="43" spans="2:20" ht="63" thickBot="1">
      <c r="B43" s="28">
        <v>39</v>
      </c>
      <c r="C43" s="29" t="s">
        <v>1353</v>
      </c>
      <c r="D43" s="30" t="s">
        <v>30</v>
      </c>
      <c r="E43" s="31" t="s">
        <v>1199</v>
      </c>
      <c r="F43" s="32" t="s">
        <v>1059</v>
      </c>
      <c r="G43" s="29" t="s">
        <v>1258</v>
      </c>
      <c r="H43" s="29" t="s">
        <v>1259</v>
      </c>
      <c r="I43" s="33">
        <v>44518</v>
      </c>
      <c r="J43" s="29" t="s">
        <v>1354</v>
      </c>
      <c r="K43" s="29" t="s">
        <v>1354</v>
      </c>
      <c r="L43" s="46">
        <v>305.87</v>
      </c>
      <c r="M43" s="29" t="s">
        <v>1355</v>
      </c>
      <c r="N43" s="29" t="s">
        <v>78</v>
      </c>
      <c r="O43" s="34" t="s">
        <v>78</v>
      </c>
      <c r="P43" s="29" t="s">
        <v>78</v>
      </c>
      <c r="Q43" s="29" t="s">
        <v>78</v>
      </c>
      <c r="R43" s="35"/>
      <c r="S43" s="29" t="s">
        <v>78</v>
      </c>
      <c r="T43" s="36" t="s">
        <v>78</v>
      </c>
    </row>
    <row r="44" spans="2:20" ht="38" thickBot="1">
      <c r="B44" s="37">
        <v>40</v>
      </c>
      <c r="C44" s="38" t="s">
        <v>1356</v>
      </c>
      <c r="D44" s="39" t="s">
        <v>30</v>
      </c>
      <c r="E44" s="40" t="s">
        <v>1199</v>
      </c>
      <c r="F44" s="51" t="s">
        <v>1059</v>
      </c>
      <c r="G44" s="38" t="s">
        <v>1258</v>
      </c>
      <c r="H44" s="38" t="s">
        <v>1322</v>
      </c>
      <c r="I44" s="47">
        <v>0</v>
      </c>
      <c r="J44" s="38" t="s">
        <v>1357</v>
      </c>
      <c r="K44" s="38" t="s">
        <v>1358</v>
      </c>
      <c r="L44" s="48">
        <v>97.59</v>
      </c>
      <c r="M44" s="38" t="s">
        <v>1288</v>
      </c>
      <c r="N44" s="38" t="s">
        <v>78</v>
      </c>
      <c r="O44" s="43" t="s">
        <v>78</v>
      </c>
      <c r="P44" s="38" t="s">
        <v>78</v>
      </c>
      <c r="Q44" s="38" t="s">
        <v>78</v>
      </c>
      <c r="R44" s="42"/>
      <c r="S44" s="38" t="s">
        <v>78</v>
      </c>
      <c r="T44" s="44" t="s">
        <v>78</v>
      </c>
    </row>
    <row r="45" spans="2:20" ht="38" thickBot="1">
      <c r="B45" s="28">
        <v>41</v>
      </c>
      <c r="C45" s="29" t="s">
        <v>1359</v>
      </c>
      <c r="D45" s="30" t="s">
        <v>30</v>
      </c>
      <c r="E45" s="31" t="s">
        <v>1199</v>
      </c>
      <c r="F45" s="32" t="s">
        <v>1059</v>
      </c>
      <c r="G45" s="29" t="s">
        <v>1258</v>
      </c>
      <c r="H45" s="29" t="s">
        <v>1259</v>
      </c>
      <c r="I45" s="33">
        <v>71615</v>
      </c>
      <c r="J45" s="29" t="s">
        <v>1360</v>
      </c>
      <c r="K45" s="29" t="s">
        <v>1361</v>
      </c>
      <c r="L45" s="46">
        <v>167.12</v>
      </c>
      <c r="M45" s="29" t="s">
        <v>1288</v>
      </c>
      <c r="N45" s="29" t="s">
        <v>78</v>
      </c>
      <c r="O45" s="34" t="s">
        <v>78</v>
      </c>
      <c r="P45" s="29" t="s">
        <v>78</v>
      </c>
      <c r="Q45" s="29" t="s">
        <v>78</v>
      </c>
      <c r="R45" s="35"/>
      <c r="S45" s="29" t="s">
        <v>78</v>
      </c>
      <c r="T45" s="36" t="s">
        <v>78</v>
      </c>
    </row>
    <row r="46" spans="2:20" ht="38" thickBot="1">
      <c r="B46" s="37">
        <v>42</v>
      </c>
      <c r="C46" s="38" t="s">
        <v>1362</v>
      </c>
      <c r="D46" s="39" t="s">
        <v>30</v>
      </c>
      <c r="E46" s="40" t="s">
        <v>1199</v>
      </c>
      <c r="F46" s="51" t="s">
        <v>1059</v>
      </c>
      <c r="G46" s="38" t="s">
        <v>1200</v>
      </c>
      <c r="H46" s="38" t="s">
        <v>1201</v>
      </c>
      <c r="I46" s="38" t="s">
        <v>1363</v>
      </c>
      <c r="J46" s="42"/>
      <c r="K46" s="38" t="s">
        <v>1364</v>
      </c>
      <c r="L46" s="47">
        <v>4990</v>
      </c>
      <c r="M46" s="38" t="s">
        <v>1365</v>
      </c>
      <c r="N46" s="38" t="s">
        <v>78</v>
      </c>
      <c r="O46" s="43" t="s">
        <v>78</v>
      </c>
      <c r="P46" s="42"/>
      <c r="Q46" s="38" t="s">
        <v>78</v>
      </c>
      <c r="R46" s="42"/>
      <c r="S46" s="38" t="s">
        <v>78</v>
      </c>
      <c r="T46" s="44" t="s">
        <v>78</v>
      </c>
    </row>
    <row r="47" spans="2:20" ht="38" thickBot="1">
      <c r="B47" s="28">
        <v>43</v>
      </c>
      <c r="C47" s="29" t="s">
        <v>1366</v>
      </c>
      <c r="D47" s="30" t="s">
        <v>30</v>
      </c>
      <c r="E47" s="31" t="s">
        <v>1199</v>
      </c>
      <c r="F47" s="32" t="s">
        <v>1059</v>
      </c>
      <c r="G47" s="29" t="s">
        <v>1258</v>
      </c>
      <c r="H47" s="29" t="s">
        <v>1259</v>
      </c>
      <c r="I47" s="33">
        <v>0</v>
      </c>
      <c r="J47" s="33">
        <v>430195</v>
      </c>
      <c r="K47" s="29" t="s">
        <v>1367</v>
      </c>
      <c r="L47" s="33">
        <v>1041</v>
      </c>
      <c r="M47" s="29" t="s">
        <v>1288</v>
      </c>
      <c r="N47" s="29" t="s">
        <v>78</v>
      </c>
      <c r="O47" s="34" t="s">
        <v>78</v>
      </c>
      <c r="P47" s="29" t="s">
        <v>78</v>
      </c>
      <c r="Q47" s="29" t="s">
        <v>78</v>
      </c>
      <c r="R47" s="35"/>
      <c r="S47" s="29" t="s">
        <v>78</v>
      </c>
      <c r="T47" s="36" t="s">
        <v>78</v>
      </c>
    </row>
    <row r="48" spans="2:20" ht="38" thickBot="1">
      <c r="B48" s="37">
        <v>44</v>
      </c>
      <c r="C48" s="38" t="s">
        <v>1368</v>
      </c>
      <c r="D48" s="39" t="s">
        <v>30</v>
      </c>
      <c r="E48" s="40" t="s">
        <v>1199</v>
      </c>
      <c r="F48" s="51" t="s">
        <v>1059</v>
      </c>
      <c r="G48" s="38" t="s">
        <v>1258</v>
      </c>
      <c r="H48" s="38" t="s">
        <v>1259</v>
      </c>
      <c r="I48" s="47">
        <v>196923</v>
      </c>
      <c r="J48" s="38" t="s">
        <v>1369</v>
      </c>
      <c r="K48" s="38" t="s">
        <v>1370</v>
      </c>
      <c r="L48" s="48">
        <v>199.48</v>
      </c>
      <c r="M48" s="38" t="s">
        <v>1288</v>
      </c>
      <c r="N48" s="38" t="s">
        <v>78</v>
      </c>
      <c r="O48" s="43" t="s">
        <v>78</v>
      </c>
      <c r="P48" s="38" t="s">
        <v>78</v>
      </c>
      <c r="Q48" s="38" t="s">
        <v>78</v>
      </c>
      <c r="R48" s="42"/>
      <c r="S48" s="38" t="s">
        <v>78</v>
      </c>
      <c r="T48" s="44" t="s">
        <v>78</v>
      </c>
    </row>
    <row r="49" spans="2:20" ht="38" thickBot="1">
      <c r="B49" s="28">
        <v>45</v>
      </c>
      <c r="C49" s="29" t="s">
        <v>1371</v>
      </c>
      <c r="D49" s="30" t="s">
        <v>30</v>
      </c>
      <c r="E49" s="31" t="s">
        <v>1199</v>
      </c>
      <c r="F49" s="32" t="s">
        <v>1059</v>
      </c>
      <c r="G49" s="29" t="s">
        <v>1258</v>
      </c>
      <c r="H49" s="29" t="s">
        <v>1259</v>
      </c>
      <c r="I49" s="33">
        <v>117706</v>
      </c>
      <c r="J49" s="29" t="s">
        <v>1372</v>
      </c>
      <c r="K49" s="29" t="s">
        <v>1373</v>
      </c>
      <c r="L49" s="46">
        <v>76.3</v>
      </c>
      <c r="M49" s="29" t="s">
        <v>1288</v>
      </c>
      <c r="N49" s="29" t="s">
        <v>78</v>
      </c>
      <c r="O49" s="34" t="s">
        <v>78</v>
      </c>
      <c r="P49" s="29" t="s">
        <v>78</v>
      </c>
      <c r="Q49" s="29" t="s">
        <v>78</v>
      </c>
      <c r="R49" s="35"/>
      <c r="S49" s="29" t="s">
        <v>78</v>
      </c>
      <c r="T49" s="36" t="s">
        <v>78</v>
      </c>
    </row>
    <row r="50" spans="2:20" ht="38" thickBot="1">
      <c r="B50" s="37">
        <v>46</v>
      </c>
      <c r="C50" s="38" t="s">
        <v>1374</v>
      </c>
      <c r="D50" s="39" t="s">
        <v>30</v>
      </c>
      <c r="E50" s="40" t="s">
        <v>1199</v>
      </c>
      <c r="F50" s="51" t="s">
        <v>1059</v>
      </c>
      <c r="G50" s="38" t="s">
        <v>1258</v>
      </c>
      <c r="H50" s="38" t="s">
        <v>1322</v>
      </c>
      <c r="I50" s="47">
        <v>172051</v>
      </c>
      <c r="J50" s="38" t="s">
        <v>1375</v>
      </c>
      <c r="K50" s="38" t="s">
        <v>1376</v>
      </c>
      <c r="L50" s="48">
        <v>461.16</v>
      </c>
      <c r="M50" s="38" t="s">
        <v>1288</v>
      </c>
      <c r="N50" s="38" t="s">
        <v>78</v>
      </c>
      <c r="O50" s="43" t="s">
        <v>78</v>
      </c>
      <c r="P50" s="38" t="s">
        <v>78</v>
      </c>
      <c r="Q50" s="38" t="s">
        <v>78</v>
      </c>
      <c r="R50" s="42"/>
      <c r="S50" s="38" t="s">
        <v>78</v>
      </c>
      <c r="T50" s="44" t="s">
        <v>78</v>
      </c>
    </row>
    <row r="51" spans="2:20" ht="50.5" thickBot="1">
      <c r="B51" s="28">
        <v>47</v>
      </c>
      <c r="C51" s="29" t="s">
        <v>1377</v>
      </c>
      <c r="D51" s="30" t="s">
        <v>30</v>
      </c>
      <c r="E51" s="31" t="s">
        <v>1199</v>
      </c>
      <c r="F51" s="32" t="s">
        <v>1059</v>
      </c>
      <c r="G51" s="29" t="s">
        <v>1258</v>
      </c>
      <c r="H51" s="29" t="s">
        <v>1259</v>
      </c>
      <c r="I51" s="33">
        <v>25</v>
      </c>
      <c r="J51" s="33">
        <v>836921</v>
      </c>
      <c r="K51" s="29" t="s">
        <v>1378</v>
      </c>
      <c r="L51" s="46">
        <v>512.85</v>
      </c>
      <c r="M51" s="29" t="s">
        <v>1288</v>
      </c>
      <c r="N51" s="29" t="s">
        <v>78</v>
      </c>
      <c r="O51" s="34" t="s">
        <v>78</v>
      </c>
      <c r="P51" s="29" t="s">
        <v>78</v>
      </c>
      <c r="Q51" s="29" t="s">
        <v>78</v>
      </c>
      <c r="R51" s="35"/>
      <c r="S51" s="29" t="s">
        <v>78</v>
      </c>
      <c r="T51" s="36" t="s">
        <v>78</v>
      </c>
    </row>
    <row r="52" spans="2:20" ht="38" thickBot="1">
      <c r="B52" s="37">
        <v>48</v>
      </c>
      <c r="C52" s="38" t="s">
        <v>1379</v>
      </c>
      <c r="D52" s="39" t="s">
        <v>30</v>
      </c>
      <c r="E52" s="40" t="s">
        <v>1199</v>
      </c>
      <c r="F52" s="51" t="s">
        <v>1059</v>
      </c>
      <c r="G52" s="38" t="s">
        <v>1258</v>
      </c>
      <c r="H52" s="38" t="s">
        <v>1259</v>
      </c>
      <c r="I52" s="47">
        <v>0</v>
      </c>
      <c r="J52" s="47">
        <v>158766</v>
      </c>
      <c r="K52" s="38" t="s">
        <v>1380</v>
      </c>
      <c r="L52" s="48">
        <v>391.6</v>
      </c>
      <c r="M52" s="38" t="s">
        <v>1288</v>
      </c>
      <c r="N52" s="38" t="s">
        <v>78</v>
      </c>
      <c r="O52" s="43" t="s">
        <v>78</v>
      </c>
      <c r="P52" s="38" t="s">
        <v>78</v>
      </c>
      <c r="Q52" s="38" t="s">
        <v>78</v>
      </c>
      <c r="R52" s="42"/>
      <c r="S52" s="38" t="s">
        <v>78</v>
      </c>
      <c r="T52" s="44" t="s">
        <v>78</v>
      </c>
    </row>
    <row r="53" spans="2:20" ht="63" thickBot="1">
      <c r="B53" s="28">
        <v>49</v>
      </c>
      <c r="C53" s="29" t="s">
        <v>1381</v>
      </c>
      <c r="D53" s="30" t="s">
        <v>30</v>
      </c>
      <c r="E53" s="31" t="s">
        <v>1199</v>
      </c>
      <c r="F53" s="32" t="s">
        <v>1059</v>
      </c>
      <c r="G53" s="29" t="s">
        <v>1258</v>
      </c>
      <c r="H53" s="29" t="s">
        <v>1259</v>
      </c>
      <c r="I53" s="33">
        <v>21440</v>
      </c>
      <c r="J53" s="29" t="s">
        <v>1382</v>
      </c>
      <c r="K53" s="29" t="s">
        <v>1382</v>
      </c>
      <c r="L53" s="46">
        <v>60.24</v>
      </c>
      <c r="M53" s="29" t="s">
        <v>1355</v>
      </c>
      <c r="N53" s="29" t="s">
        <v>78</v>
      </c>
      <c r="O53" s="34" t="s">
        <v>78</v>
      </c>
      <c r="P53" s="29" t="s">
        <v>78</v>
      </c>
      <c r="Q53" s="29" t="s">
        <v>78</v>
      </c>
      <c r="R53" s="35"/>
      <c r="S53" s="29" t="s">
        <v>78</v>
      </c>
      <c r="T53" s="36" t="s">
        <v>78</v>
      </c>
    </row>
    <row r="54" spans="2:20" ht="38" thickBot="1">
      <c r="B54" s="37">
        <v>50</v>
      </c>
      <c r="C54" s="38" t="s">
        <v>1383</v>
      </c>
      <c r="D54" s="39" t="s">
        <v>30</v>
      </c>
      <c r="E54" s="40" t="s">
        <v>1199</v>
      </c>
      <c r="F54" s="51" t="s">
        <v>1059</v>
      </c>
      <c r="G54" s="38" t="s">
        <v>1258</v>
      </c>
      <c r="H54" s="38" t="s">
        <v>1259</v>
      </c>
      <c r="I54" s="47">
        <v>0</v>
      </c>
      <c r="J54" s="47">
        <v>313971</v>
      </c>
      <c r="K54" s="38" t="s">
        <v>1384</v>
      </c>
      <c r="L54" s="48">
        <v>247.34</v>
      </c>
      <c r="M54" s="38" t="s">
        <v>1288</v>
      </c>
      <c r="N54" s="38" t="s">
        <v>78</v>
      </c>
      <c r="O54" s="43" t="s">
        <v>78</v>
      </c>
      <c r="P54" s="38" t="s">
        <v>78</v>
      </c>
      <c r="Q54" s="38" t="s">
        <v>78</v>
      </c>
      <c r="R54" s="42"/>
      <c r="S54" s="38" t="s">
        <v>78</v>
      </c>
      <c r="T54" s="44" t="s">
        <v>78</v>
      </c>
    </row>
    <row r="55" spans="2:20" ht="38" thickBot="1">
      <c r="B55" s="28">
        <v>51</v>
      </c>
      <c r="C55" s="29" t="s">
        <v>1385</v>
      </c>
      <c r="D55" s="30" t="s">
        <v>30</v>
      </c>
      <c r="E55" s="31" t="s">
        <v>1199</v>
      </c>
      <c r="F55" s="32" t="s">
        <v>1059</v>
      </c>
      <c r="G55" s="29" t="s">
        <v>1258</v>
      </c>
      <c r="H55" s="29" t="s">
        <v>1259</v>
      </c>
      <c r="I55" s="33">
        <v>0</v>
      </c>
      <c r="J55" s="33">
        <v>625062</v>
      </c>
      <c r="K55" s="29" t="s">
        <v>1386</v>
      </c>
      <c r="L55" s="46">
        <v>148.78</v>
      </c>
      <c r="M55" s="29" t="s">
        <v>1288</v>
      </c>
      <c r="N55" s="29" t="s">
        <v>78</v>
      </c>
      <c r="O55" s="34" t="s">
        <v>78</v>
      </c>
      <c r="P55" s="29" t="s">
        <v>78</v>
      </c>
      <c r="Q55" s="29" t="s">
        <v>78</v>
      </c>
      <c r="R55" s="35"/>
      <c r="S55" s="29" t="s">
        <v>78</v>
      </c>
      <c r="T55" s="36" t="s">
        <v>78</v>
      </c>
    </row>
    <row r="56" spans="2:20" ht="38" thickBot="1">
      <c r="B56" s="37">
        <v>52</v>
      </c>
      <c r="C56" s="38" t="s">
        <v>1387</v>
      </c>
      <c r="D56" s="39" t="s">
        <v>30</v>
      </c>
      <c r="E56" s="40" t="s">
        <v>1199</v>
      </c>
      <c r="F56" s="51" t="s">
        <v>1059</v>
      </c>
      <c r="G56" s="38" t="s">
        <v>1258</v>
      </c>
      <c r="H56" s="38" t="s">
        <v>1259</v>
      </c>
      <c r="I56" s="47">
        <v>0</v>
      </c>
      <c r="J56" s="47">
        <v>206990</v>
      </c>
      <c r="K56" s="38" t="s">
        <v>1388</v>
      </c>
      <c r="L56" s="48">
        <v>519.23</v>
      </c>
      <c r="M56" s="38" t="s">
        <v>1288</v>
      </c>
      <c r="N56" s="38" t="s">
        <v>78</v>
      </c>
      <c r="O56" s="43" t="s">
        <v>78</v>
      </c>
      <c r="P56" s="38" t="s">
        <v>78</v>
      </c>
      <c r="Q56" s="38" t="s">
        <v>78</v>
      </c>
      <c r="R56" s="42"/>
      <c r="S56" s="38" t="s">
        <v>78</v>
      </c>
      <c r="T56" s="44" t="s">
        <v>78</v>
      </c>
    </row>
    <row r="57" spans="2:20" ht="50.5" thickBot="1">
      <c r="B57" s="28">
        <v>53</v>
      </c>
      <c r="C57" s="29" t="s">
        <v>1389</v>
      </c>
      <c r="D57" s="30" t="s">
        <v>30</v>
      </c>
      <c r="E57" s="31" t="s">
        <v>1199</v>
      </c>
      <c r="F57" s="32" t="s">
        <v>1059</v>
      </c>
      <c r="G57" s="29" t="s">
        <v>1207</v>
      </c>
      <c r="H57" s="29" t="s">
        <v>1222</v>
      </c>
      <c r="I57" s="33">
        <v>4389</v>
      </c>
      <c r="J57" s="33">
        <v>448688</v>
      </c>
      <c r="K57" s="29" t="s">
        <v>1390</v>
      </c>
      <c r="L57" s="46">
        <v>1.05</v>
      </c>
      <c r="M57" s="29" t="s">
        <v>1283</v>
      </c>
      <c r="N57" s="29" t="s">
        <v>78</v>
      </c>
      <c r="O57" s="34" t="s">
        <v>78</v>
      </c>
      <c r="P57" s="35"/>
      <c r="Q57" s="29" t="s">
        <v>78</v>
      </c>
      <c r="R57" s="35"/>
      <c r="S57" s="29" t="s">
        <v>78</v>
      </c>
      <c r="T57" s="36" t="s">
        <v>78</v>
      </c>
    </row>
    <row r="58" spans="2:20" ht="38" thickBot="1">
      <c r="B58" s="37">
        <v>54</v>
      </c>
      <c r="C58" s="38" t="s">
        <v>1391</v>
      </c>
      <c r="D58" s="39" t="s">
        <v>30</v>
      </c>
      <c r="E58" s="40" t="s">
        <v>1199</v>
      </c>
      <c r="F58" s="51" t="s">
        <v>1059</v>
      </c>
      <c r="G58" s="38" t="s">
        <v>1258</v>
      </c>
      <c r="H58" s="38" t="s">
        <v>1259</v>
      </c>
      <c r="I58" s="47">
        <v>0</v>
      </c>
      <c r="J58" s="47">
        <v>346067</v>
      </c>
      <c r="K58" s="38" t="s">
        <v>1392</v>
      </c>
      <c r="L58" s="48">
        <v>168.12</v>
      </c>
      <c r="M58" s="38" t="s">
        <v>1288</v>
      </c>
      <c r="N58" s="38" t="s">
        <v>78</v>
      </c>
      <c r="O58" s="43" t="s">
        <v>78</v>
      </c>
      <c r="P58" s="38" t="s">
        <v>78</v>
      </c>
      <c r="Q58" s="38" t="s">
        <v>78</v>
      </c>
      <c r="R58" s="42"/>
      <c r="S58" s="38" t="s">
        <v>78</v>
      </c>
      <c r="T58" s="44" t="s">
        <v>78</v>
      </c>
    </row>
    <row r="59" spans="2:20" ht="38" thickBot="1">
      <c r="B59" s="28">
        <v>55</v>
      </c>
      <c r="C59" s="29" t="s">
        <v>1393</v>
      </c>
      <c r="D59" s="30" t="s">
        <v>30</v>
      </c>
      <c r="E59" s="31" t="s">
        <v>1199</v>
      </c>
      <c r="F59" s="32" t="s">
        <v>1059</v>
      </c>
      <c r="G59" s="29" t="s">
        <v>1258</v>
      </c>
      <c r="H59" s="29" t="s">
        <v>1259</v>
      </c>
      <c r="I59" s="33">
        <v>100</v>
      </c>
      <c r="J59" s="29" t="s">
        <v>1394</v>
      </c>
      <c r="K59" s="29" t="s">
        <v>1395</v>
      </c>
      <c r="L59" s="46">
        <v>46.63</v>
      </c>
      <c r="M59" s="29" t="s">
        <v>1288</v>
      </c>
      <c r="N59" s="29" t="s">
        <v>78</v>
      </c>
      <c r="O59" s="34" t="s">
        <v>78</v>
      </c>
      <c r="P59" s="29" t="s">
        <v>78</v>
      </c>
      <c r="Q59" s="29" t="s">
        <v>78</v>
      </c>
      <c r="R59" s="35"/>
      <c r="S59" s="29" t="s">
        <v>78</v>
      </c>
      <c r="T59" s="36" t="s">
        <v>78</v>
      </c>
    </row>
    <row r="60" spans="2:20" ht="38" thickBot="1">
      <c r="B60" s="37">
        <v>56</v>
      </c>
      <c r="C60" s="38" t="s">
        <v>1396</v>
      </c>
      <c r="D60" s="39" t="s">
        <v>30</v>
      </c>
      <c r="E60" s="40" t="s">
        <v>1199</v>
      </c>
      <c r="F60" s="51" t="s">
        <v>1059</v>
      </c>
      <c r="G60" s="38" t="s">
        <v>1258</v>
      </c>
      <c r="H60" s="38" t="s">
        <v>1259</v>
      </c>
      <c r="I60" s="47">
        <v>0</v>
      </c>
      <c r="J60" s="38" t="s">
        <v>1397</v>
      </c>
      <c r="K60" s="38" t="s">
        <v>1398</v>
      </c>
      <c r="L60" s="48">
        <v>407.02</v>
      </c>
      <c r="M60" s="38" t="s">
        <v>1288</v>
      </c>
      <c r="N60" s="38" t="s">
        <v>78</v>
      </c>
      <c r="O60" s="43" t="s">
        <v>78</v>
      </c>
      <c r="P60" s="38" t="s">
        <v>78</v>
      </c>
      <c r="Q60" s="38" t="s">
        <v>78</v>
      </c>
      <c r="R60" s="42"/>
      <c r="S60" s="38" t="s">
        <v>78</v>
      </c>
      <c r="T60" s="44" t="s">
        <v>78</v>
      </c>
    </row>
    <row r="61" spans="2:20" ht="38" thickBot="1">
      <c r="B61" s="28">
        <v>57</v>
      </c>
      <c r="C61" s="29" t="s">
        <v>1399</v>
      </c>
      <c r="D61" s="30" t="s">
        <v>30</v>
      </c>
      <c r="E61" s="31" t="s">
        <v>1199</v>
      </c>
      <c r="F61" s="32" t="s">
        <v>1059</v>
      </c>
      <c r="G61" s="29" t="s">
        <v>1258</v>
      </c>
      <c r="H61" s="29" t="s">
        <v>1259</v>
      </c>
      <c r="I61" s="33">
        <v>16</v>
      </c>
      <c r="J61" s="33">
        <v>470402</v>
      </c>
      <c r="K61" s="29" t="s">
        <v>1400</v>
      </c>
      <c r="L61" s="46">
        <v>162.21</v>
      </c>
      <c r="M61" s="29" t="s">
        <v>1288</v>
      </c>
      <c r="N61" s="29" t="s">
        <v>78</v>
      </c>
      <c r="O61" s="34" t="s">
        <v>78</v>
      </c>
      <c r="P61" s="29" t="s">
        <v>78</v>
      </c>
      <c r="Q61" s="29" t="s">
        <v>78</v>
      </c>
      <c r="R61" s="35"/>
      <c r="S61" s="29" t="s">
        <v>78</v>
      </c>
      <c r="T61" s="36" t="s">
        <v>78</v>
      </c>
    </row>
    <row r="62" spans="2:20" ht="38" thickBot="1">
      <c r="B62" s="37">
        <v>58</v>
      </c>
      <c r="C62" s="38" t="s">
        <v>1401</v>
      </c>
      <c r="D62" s="39" t="s">
        <v>30</v>
      </c>
      <c r="E62" s="40" t="s">
        <v>1199</v>
      </c>
      <c r="F62" s="51" t="s">
        <v>1059</v>
      </c>
      <c r="G62" s="38" t="s">
        <v>1258</v>
      </c>
      <c r="H62" s="38" t="s">
        <v>1259</v>
      </c>
      <c r="I62" s="47">
        <v>0</v>
      </c>
      <c r="J62" s="47">
        <v>309275</v>
      </c>
      <c r="K62" s="38" t="s">
        <v>1402</v>
      </c>
      <c r="L62" s="48">
        <v>233.59</v>
      </c>
      <c r="M62" s="38" t="s">
        <v>1288</v>
      </c>
      <c r="N62" s="38" t="s">
        <v>78</v>
      </c>
      <c r="O62" s="43" t="s">
        <v>78</v>
      </c>
      <c r="P62" s="38" t="s">
        <v>78</v>
      </c>
      <c r="Q62" s="38" t="s">
        <v>78</v>
      </c>
      <c r="R62" s="42"/>
      <c r="S62" s="38" t="s">
        <v>78</v>
      </c>
      <c r="T62" s="44" t="s">
        <v>78</v>
      </c>
    </row>
    <row r="63" spans="2:20" ht="38" thickBot="1">
      <c r="B63" s="28">
        <v>59</v>
      </c>
      <c r="C63" s="29" t="s">
        <v>1403</v>
      </c>
      <c r="D63" s="30" t="s">
        <v>30</v>
      </c>
      <c r="E63" s="31" t="s">
        <v>1199</v>
      </c>
      <c r="F63" s="32" t="s">
        <v>1059</v>
      </c>
      <c r="G63" s="29" t="s">
        <v>1258</v>
      </c>
      <c r="H63" s="29" t="s">
        <v>1259</v>
      </c>
      <c r="I63" s="33">
        <v>19636</v>
      </c>
      <c r="J63" s="33">
        <v>832148</v>
      </c>
      <c r="K63" s="29" t="s">
        <v>1404</v>
      </c>
      <c r="L63" s="46">
        <v>329.25</v>
      </c>
      <c r="M63" s="29" t="s">
        <v>1288</v>
      </c>
      <c r="N63" s="29" t="s">
        <v>78</v>
      </c>
      <c r="O63" s="34" t="s">
        <v>78</v>
      </c>
      <c r="P63" s="29" t="s">
        <v>78</v>
      </c>
      <c r="Q63" s="29" t="s">
        <v>78</v>
      </c>
      <c r="R63" s="35"/>
      <c r="S63" s="29" t="s">
        <v>78</v>
      </c>
      <c r="T63" s="36" t="s">
        <v>78</v>
      </c>
    </row>
    <row r="64" spans="2:20" ht="38" thickBot="1">
      <c r="B64" s="37">
        <v>60</v>
      </c>
      <c r="C64" s="38" t="s">
        <v>1405</v>
      </c>
      <c r="D64" s="39" t="s">
        <v>30</v>
      </c>
      <c r="E64" s="40" t="s">
        <v>1199</v>
      </c>
      <c r="F64" s="51" t="s">
        <v>1059</v>
      </c>
      <c r="G64" s="38" t="s">
        <v>1258</v>
      </c>
      <c r="H64" s="38" t="s">
        <v>1259</v>
      </c>
      <c r="I64" s="47">
        <v>0</v>
      </c>
      <c r="J64" s="47">
        <v>723503</v>
      </c>
      <c r="K64" s="38" t="s">
        <v>1406</v>
      </c>
      <c r="L64" s="48">
        <v>325.93</v>
      </c>
      <c r="M64" s="38" t="s">
        <v>1288</v>
      </c>
      <c r="N64" s="38" t="s">
        <v>78</v>
      </c>
      <c r="O64" s="43" t="s">
        <v>78</v>
      </c>
      <c r="P64" s="38" t="s">
        <v>78</v>
      </c>
      <c r="Q64" s="38" t="s">
        <v>78</v>
      </c>
      <c r="R64" s="42"/>
      <c r="S64" s="38" t="s">
        <v>78</v>
      </c>
      <c r="T64" s="44" t="s">
        <v>78</v>
      </c>
    </row>
    <row r="65" spans="2:20" ht="38" thickBot="1">
      <c r="B65" s="28">
        <v>61</v>
      </c>
      <c r="C65" s="29" t="s">
        <v>1407</v>
      </c>
      <c r="D65" s="30" t="s">
        <v>30</v>
      </c>
      <c r="E65" s="31" t="s">
        <v>1199</v>
      </c>
      <c r="F65" s="32" t="s">
        <v>1059</v>
      </c>
      <c r="G65" s="29" t="s">
        <v>1258</v>
      </c>
      <c r="H65" s="29" t="s">
        <v>1322</v>
      </c>
      <c r="I65" s="33">
        <v>0</v>
      </c>
      <c r="J65" s="29" t="s">
        <v>1408</v>
      </c>
      <c r="K65" s="29" t="s">
        <v>1409</v>
      </c>
      <c r="L65" s="46">
        <v>337.96</v>
      </c>
      <c r="M65" s="29" t="s">
        <v>1288</v>
      </c>
      <c r="N65" s="29" t="s">
        <v>78</v>
      </c>
      <c r="O65" s="34" t="s">
        <v>78</v>
      </c>
      <c r="P65" s="29" t="s">
        <v>78</v>
      </c>
      <c r="Q65" s="29" t="s">
        <v>78</v>
      </c>
      <c r="R65" s="35"/>
      <c r="S65" s="29" t="s">
        <v>78</v>
      </c>
      <c r="T65" s="36" t="s">
        <v>78</v>
      </c>
    </row>
    <row r="66" spans="2:20" ht="50.5" thickBot="1">
      <c r="B66" s="37">
        <v>62</v>
      </c>
      <c r="C66" s="38" t="s">
        <v>1410</v>
      </c>
      <c r="D66" s="39" t="s">
        <v>30</v>
      </c>
      <c r="E66" s="40" t="s">
        <v>1199</v>
      </c>
      <c r="F66" s="51" t="s">
        <v>1059</v>
      </c>
      <c r="G66" s="38" t="s">
        <v>1258</v>
      </c>
      <c r="H66" s="38" t="s">
        <v>1322</v>
      </c>
      <c r="I66" s="47">
        <v>143462</v>
      </c>
      <c r="J66" s="38" t="s">
        <v>1411</v>
      </c>
      <c r="K66" s="38" t="s">
        <v>1411</v>
      </c>
      <c r="L66" s="48">
        <v>70.03</v>
      </c>
      <c r="M66" s="38" t="s">
        <v>1355</v>
      </c>
      <c r="N66" s="38" t="s">
        <v>78</v>
      </c>
      <c r="O66" s="43" t="s">
        <v>78</v>
      </c>
      <c r="P66" s="38" t="s">
        <v>78</v>
      </c>
      <c r="Q66" s="38" t="s">
        <v>78</v>
      </c>
      <c r="R66" s="42"/>
      <c r="S66" s="38" t="s">
        <v>78</v>
      </c>
      <c r="T66" s="44" t="s">
        <v>78</v>
      </c>
    </row>
    <row r="67" spans="2:20" ht="38" thickBot="1">
      <c r="B67" s="28">
        <v>63</v>
      </c>
      <c r="C67" s="29" t="s">
        <v>1412</v>
      </c>
      <c r="D67" s="30" t="s">
        <v>30</v>
      </c>
      <c r="E67" s="31" t="s">
        <v>1199</v>
      </c>
      <c r="F67" s="32" t="s">
        <v>1059</v>
      </c>
      <c r="G67" s="29" t="s">
        <v>1258</v>
      </c>
      <c r="H67" s="29" t="s">
        <v>1259</v>
      </c>
      <c r="I67" s="33">
        <v>257</v>
      </c>
      <c r="J67" s="33">
        <v>433291</v>
      </c>
      <c r="K67" s="29" t="s">
        <v>1413</v>
      </c>
      <c r="L67" s="46">
        <v>79.08</v>
      </c>
      <c r="M67" s="29" t="s">
        <v>1288</v>
      </c>
      <c r="N67" s="29" t="s">
        <v>78</v>
      </c>
      <c r="O67" s="34" t="s">
        <v>78</v>
      </c>
      <c r="P67" s="29" t="s">
        <v>78</v>
      </c>
      <c r="Q67" s="29" t="s">
        <v>78</v>
      </c>
      <c r="R67" s="35"/>
      <c r="S67" s="29" t="s">
        <v>78</v>
      </c>
      <c r="T67" s="36" t="s">
        <v>78</v>
      </c>
    </row>
    <row r="68" spans="2:20" ht="38" thickBot="1">
      <c r="B68" s="37">
        <v>64</v>
      </c>
      <c r="C68" s="38" t="s">
        <v>1414</v>
      </c>
      <c r="D68" s="39" t="s">
        <v>30</v>
      </c>
      <c r="E68" s="40" t="s">
        <v>1199</v>
      </c>
      <c r="F68" s="51" t="s">
        <v>1059</v>
      </c>
      <c r="G68" s="38" t="s">
        <v>1258</v>
      </c>
      <c r="H68" s="38" t="s">
        <v>1259</v>
      </c>
      <c r="I68" s="47">
        <v>101</v>
      </c>
      <c r="J68" s="47">
        <v>336458</v>
      </c>
      <c r="K68" s="38" t="s">
        <v>1415</v>
      </c>
      <c r="L68" s="48">
        <v>33.64</v>
      </c>
      <c r="M68" s="38" t="s">
        <v>1288</v>
      </c>
      <c r="N68" s="38" t="s">
        <v>78</v>
      </c>
      <c r="O68" s="43" t="s">
        <v>78</v>
      </c>
      <c r="P68" s="38" t="s">
        <v>78</v>
      </c>
      <c r="Q68" s="38" t="s">
        <v>78</v>
      </c>
      <c r="R68" s="42"/>
      <c r="S68" s="38" t="s">
        <v>78</v>
      </c>
      <c r="T68" s="44" t="s">
        <v>78</v>
      </c>
    </row>
    <row r="69" spans="2:20" ht="25.5" thickBot="1">
      <c r="B69" s="28">
        <v>65</v>
      </c>
      <c r="C69" s="29" t="s">
        <v>1416</v>
      </c>
      <c r="D69" s="52" t="s">
        <v>1417</v>
      </c>
      <c r="E69" s="53" t="s">
        <v>1418</v>
      </c>
      <c r="F69" s="32" t="s">
        <v>1059</v>
      </c>
      <c r="G69" s="29" t="s">
        <v>1419</v>
      </c>
      <c r="H69" s="29" t="s">
        <v>1420</v>
      </c>
      <c r="I69" s="33">
        <v>28561</v>
      </c>
      <c r="J69" s="29" t="s">
        <v>1421</v>
      </c>
      <c r="K69" s="29" t="s">
        <v>1421</v>
      </c>
      <c r="L69" s="46">
        <v>7.0000000000000001E-3</v>
      </c>
      <c r="M69" s="29" t="s">
        <v>1422</v>
      </c>
      <c r="N69" s="35"/>
      <c r="O69" s="50" t="s">
        <v>1265</v>
      </c>
      <c r="P69" s="35"/>
      <c r="Q69" s="35"/>
      <c r="R69" s="35"/>
      <c r="S69" s="29" t="s">
        <v>78</v>
      </c>
      <c r="T69" s="36" t="s">
        <v>78</v>
      </c>
    </row>
    <row r="70" spans="2:20" ht="25.5" thickBot="1">
      <c r="B70" s="37">
        <v>66</v>
      </c>
      <c r="C70" s="38" t="s">
        <v>1423</v>
      </c>
      <c r="D70" s="54" t="s">
        <v>1417</v>
      </c>
      <c r="E70" s="55" t="s">
        <v>1418</v>
      </c>
      <c r="F70" s="41" t="s">
        <v>1206</v>
      </c>
      <c r="G70" s="38" t="s">
        <v>1419</v>
      </c>
      <c r="H70" s="38" t="s">
        <v>1420</v>
      </c>
      <c r="I70" s="47">
        <v>0</v>
      </c>
      <c r="J70" s="42"/>
      <c r="K70" s="38" t="s">
        <v>1424</v>
      </c>
      <c r="L70" s="48">
        <v>0.16</v>
      </c>
      <c r="M70" s="38" t="s">
        <v>1425</v>
      </c>
      <c r="N70" s="42"/>
      <c r="O70" s="56" t="s">
        <v>1265</v>
      </c>
      <c r="P70" s="42"/>
      <c r="Q70" s="38" t="s">
        <v>78</v>
      </c>
      <c r="R70" s="38" t="s">
        <v>78</v>
      </c>
      <c r="S70" s="38" t="s">
        <v>78</v>
      </c>
      <c r="T70" s="44" t="s">
        <v>78</v>
      </c>
    </row>
    <row r="71" spans="2:20" ht="38" thickBot="1">
      <c r="B71" s="28">
        <v>67</v>
      </c>
      <c r="C71" s="29" t="s">
        <v>1426</v>
      </c>
      <c r="D71" s="30" t="s">
        <v>30</v>
      </c>
      <c r="E71" s="31" t="s">
        <v>1199</v>
      </c>
      <c r="F71" s="32" t="s">
        <v>1059</v>
      </c>
      <c r="G71" s="29" t="s">
        <v>1258</v>
      </c>
      <c r="H71" s="29" t="s">
        <v>1259</v>
      </c>
      <c r="I71" s="33">
        <v>0</v>
      </c>
      <c r="J71" s="33">
        <v>251763</v>
      </c>
      <c r="K71" s="29" t="s">
        <v>1427</v>
      </c>
      <c r="L71" s="46">
        <v>428.21</v>
      </c>
      <c r="M71" s="29" t="s">
        <v>1288</v>
      </c>
      <c r="N71" s="29" t="s">
        <v>78</v>
      </c>
      <c r="O71" s="34" t="s">
        <v>78</v>
      </c>
      <c r="P71" s="29" t="s">
        <v>78</v>
      </c>
      <c r="Q71" s="29" t="s">
        <v>78</v>
      </c>
      <c r="R71" s="35"/>
      <c r="S71" s="29" t="s">
        <v>78</v>
      </c>
      <c r="T71" s="36" t="s">
        <v>78</v>
      </c>
    </row>
    <row r="72" spans="2:20" ht="38" thickBot="1">
      <c r="B72" s="37">
        <v>68</v>
      </c>
      <c r="C72" s="38" t="s">
        <v>1428</v>
      </c>
      <c r="D72" s="39" t="s">
        <v>30</v>
      </c>
      <c r="E72" s="40" t="s">
        <v>1199</v>
      </c>
      <c r="F72" s="51" t="s">
        <v>1059</v>
      </c>
      <c r="G72" s="38" t="s">
        <v>1258</v>
      </c>
      <c r="H72" s="38" t="s">
        <v>1259</v>
      </c>
      <c r="I72" s="47">
        <v>0</v>
      </c>
      <c r="J72" s="47">
        <v>250962</v>
      </c>
      <c r="K72" s="38" t="s">
        <v>1429</v>
      </c>
      <c r="L72" s="48">
        <v>77.900000000000006</v>
      </c>
      <c r="M72" s="38" t="s">
        <v>1288</v>
      </c>
      <c r="N72" s="38" t="s">
        <v>78</v>
      </c>
      <c r="O72" s="43" t="s">
        <v>78</v>
      </c>
      <c r="P72" s="38" t="s">
        <v>78</v>
      </c>
      <c r="Q72" s="38" t="s">
        <v>78</v>
      </c>
      <c r="R72" s="42"/>
      <c r="S72" s="38" t="s">
        <v>78</v>
      </c>
      <c r="T72" s="44" t="s">
        <v>78</v>
      </c>
    </row>
    <row r="73" spans="2:20" ht="38" thickBot="1">
      <c r="B73" s="28">
        <v>69</v>
      </c>
      <c r="C73" s="29" t="s">
        <v>1430</v>
      </c>
      <c r="D73" s="30" t="s">
        <v>30</v>
      </c>
      <c r="E73" s="31" t="s">
        <v>1199</v>
      </c>
      <c r="F73" s="32" t="s">
        <v>1059</v>
      </c>
      <c r="G73" s="29" t="s">
        <v>1258</v>
      </c>
      <c r="H73" s="29" t="s">
        <v>1259</v>
      </c>
      <c r="I73" s="33">
        <v>51</v>
      </c>
      <c r="J73" s="29" t="s">
        <v>1431</v>
      </c>
      <c r="K73" s="29" t="s">
        <v>1432</v>
      </c>
      <c r="L73" s="46">
        <v>509.2</v>
      </c>
      <c r="M73" s="29" t="s">
        <v>1288</v>
      </c>
      <c r="N73" s="29" t="s">
        <v>78</v>
      </c>
      <c r="O73" s="34" t="s">
        <v>78</v>
      </c>
      <c r="P73" s="29" t="s">
        <v>78</v>
      </c>
      <c r="Q73" s="29" t="s">
        <v>78</v>
      </c>
      <c r="R73" s="35"/>
      <c r="S73" s="29" t="s">
        <v>78</v>
      </c>
      <c r="T73" s="36" t="s">
        <v>78</v>
      </c>
    </row>
    <row r="74" spans="2:20" ht="38" thickBot="1">
      <c r="B74" s="37">
        <v>70</v>
      </c>
      <c r="C74" s="38" t="s">
        <v>1433</v>
      </c>
      <c r="D74" s="39" t="s">
        <v>30</v>
      </c>
      <c r="E74" s="40" t="s">
        <v>1199</v>
      </c>
      <c r="F74" s="51" t="s">
        <v>1059</v>
      </c>
      <c r="G74" s="38" t="s">
        <v>1258</v>
      </c>
      <c r="H74" s="38" t="s">
        <v>1259</v>
      </c>
      <c r="I74" s="47">
        <v>0</v>
      </c>
      <c r="J74" s="47">
        <v>226452</v>
      </c>
      <c r="K74" s="38" t="s">
        <v>1434</v>
      </c>
      <c r="L74" s="48">
        <v>215.63</v>
      </c>
      <c r="M74" s="38" t="s">
        <v>1288</v>
      </c>
      <c r="N74" s="38" t="s">
        <v>78</v>
      </c>
      <c r="O74" s="43" t="s">
        <v>78</v>
      </c>
      <c r="P74" s="38" t="s">
        <v>78</v>
      </c>
      <c r="Q74" s="38" t="s">
        <v>78</v>
      </c>
      <c r="R74" s="42"/>
      <c r="S74" s="38" t="s">
        <v>78</v>
      </c>
      <c r="T74" s="44" t="s">
        <v>78</v>
      </c>
    </row>
    <row r="75" spans="2:20" ht="38" thickBot="1">
      <c r="B75" s="28">
        <v>71</v>
      </c>
      <c r="C75" s="29" t="s">
        <v>1435</v>
      </c>
      <c r="D75" s="30" t="s">
        <v>30</v>
      </c>
      <c r="E75" s="31" t="s">
        <v>1199</v>
      </c>
      <c r="F75" s="32" t="s">
        <v>1059</v>
      </c>
      <c r="G75" s="29" t="s">
        <v>1258</v>
      </c>
      <c r="H75" s="29" t="s">
        <v>1259</v>
      </c>
      <c r="I75" s="33">
        <v>403</v>
      </c>
      <c r="J75" s="29" t="s">
        <v>1436</v>
      </c>
      <c r="K75" s="29" t="s">
        <v>1437</v>
      </c>
      <c r="L75" s="46">
        <v>162.86000000000001</v>
      </c>
      <c r="M75" s="29" t="s">
        <v>1288</v>
      </c>
      <c r="N75" s="29" t="s">
        <v>78</v>
      </c>
      <c r="O75" s="34" t="s">
        <v>78</v>
      </c>
      <c r="P75" s="29" t="s">
        <v>78</v>
      </c>
      <c r="Q75" s="29" t="s">
        <v>78</v>
      </c>
      <c r="R75" s="35"/>
      <c r="S75" s="29" t="s">
        <v>78</v>
      </c>
      <c r="T75" s="36" t="s">
        <v>78</v>
      </c>
    </row>
    <row r="76" spans="2:20" ht="50.5" thickBot="1">
      <c r="B76" s="37">
        <v>72</v>
      </c>
      <c r="C76" s="38" t="s">
        <v>1438</v>
      </c>
      <c r="D76" s="39" t="s">
        <v>30</v>
      </c>
      <c r="E76" s="40" t="s">
        <v>1199</v>
      </c>
      <c r="F76" s="51" t="s">
        <v>1059</v>
      </c>
      <c r="G76" s="38" t="s">
        <v>1258</v>
      </c>
      <c r="H76" s="38" t="s">
        <v>1259</v>
      </c>
      <c r="I76" s="47">
        <v>0</v>
      </c>
      <c r="J76" s="47">
        <v>264114</v>
      </c>
      <c r="K76" s="38" t="s">
        <v>1439</v>
      </c>
      <c r="L76" s="48">
        <v>270.89999999999998</v>
      </c>
      <c r="M76" s="38" t="s">
        <v>1288</v>
      </c>
      <c r="N76" s="38" t="s">
        <v>78</v>
      </c>
      <c r="O76" s="43" t="s">
        <v>78</v>
      </c>
      <c r="P76" s="42"/>
      <c r="Q76" s="38" t="s">
        <v>78</v>
      </c>
      <c r="R76" s="42"/>
      <c r="S76" s="38" t="s">
        <v>78</v>
      </c>
      <c r="T76" s="44" t="s">
        <v>78</v>
      </c>
    </row>
    <row r="77" spans="2:20" ht="63" thickBot="1">
      <c r="B77" s="28">
        <v>73</v>
      </c>
      <c r="C77" s="29" t="s">
        <v>1440</v>
      </c>
      <c r="D77" s="30" t="s">
        <v>30</v>
      </c>
      <c r="E77" s="31" t="s">
        <v>1199</v>
      </c>
      <c r="F77" s="32" t="s">
        <v>1059</v>
      </c>
      <c r="G77" s="29" t="s">
        <v>1258</v>
      </c>
      <c r="H77" s="29" t="s">
        <v>1259</v>
      </c>
      <c r="I77" s="33">
        <v>5005</v>
      </c>
      <c r="J77" s="29" t="s">
        <v>1441</v>
      </c>
      <c r="K77" s="29" t="s">
        <v>1442</v>
      </c>
      <c r="L77" s="46">
        <v>409.62</v>
      </c>
      <c r="M77" s="29" t="s">
        <v>1355</v>
      </c>
      <c r="N77" s="29" t="s">
        <v>78</v>
      </c>
      <c r="O77" s="34" t="s">
        <v>78</v>
      </c>
      <c r="P77" s="29" t="s">
        <v>78</v>
      </c>
      <c r="Q77" s="29" t="s">
        <v>78</v>
      </c>
      <c r="R77" s="35"/>
      <c r="S77" s="29" t="s">
        <v>78</v>
      </c>
      <c r="T77" s="36" t="s">
        <v>78</v>
      </c>
    </row>
    <row r="78" spans="2:20" ht="38" thickBot="1">
      <c r="B78" s="37">
        <v>74</v>
      </c>
      <c r="C78" s="38" t="s">
        <v>1443</v>
      </c>
      <c r="D78" s="39" t="s">
        <v>30</v>
      </c>
      <c r="E78" s="40" t="s">
        <v>1199</v>
      </c>
      <c r="F78" s="51" t="s">
        <v>1059</v>
      </c>
      <c r="G78" s="38" t="s">
        <v>1258</v>
      </c>
      <c r="H78" s="38" t="s">
        <v>1259</v>
      </c>
      <c r="I78" s="47">
        <v>0</v>
      </c>
      <c r="J78" s="47">
        <v>207002</v>
      </c>
      <c r="K78" s="38" t="s">
        <v>1444</v>
      </c>
      <c r="L78" s="48">
        <v>112.15</v>
      </c>
      <c r="M78" s="38" t="s">
        <v>1288</v>
      </c>
      <c r="N78" s="38" t="s">
        <v>78</v>
      </c>
      <c r="O78" s="43" t="s">
        <v>78</v>
      </c>
      <c r="P78" s="38" t="s">
        <v>78</v>
      </c>
      <c r="Q78" s="38" t="s">
        <v>78</v>
      </c>
      <c r="R78" s="42"/>
      <c r="S78" s="38" t="s">
        <v>78</v>
      </c>
      <c r="T78" s="44" t="s">
        <v>78</v>
      </c>
    </row>
    <row r="79" spans="2:20" ht="38" thickBot="1">
      <c r="B79" s="28">
        <v>75</v>
      </c>
      <c r="C79" s="29" t="s">
        <v>1445</v>
      </c>
      <c r="D79" s="30" t="s">
        <v>30</v>
      </c>
      <c r="E79" s="31" t="s">
        <v>1199</v>
      </c>
      <c r="F79" s="32" t="s">
        <v>1059</v>
      </c>
      <c r="G79" s="29" t="s">
        <v>1258</v>
      </c>
      <c r="H79" s="29" t="s">
        <v>1259</v>
      </c>
      <c r="I79" s="33">
        <v>75</v>
      </c>
      <c r="J79" s="33">
        <v>192528</v>
      </c>
      <c r="K79" s="29" t="s">
        <v>1446</v>
      </c>
      <c r="L79" s="46">
        <v>232.8</v>
      </c>
      <c r="M79" s="29" t="s">
        <v>1288</v>
      </c>
      <c r="N79" s="29" t="s">
        <v>78</v>
      </c>
      <c r="O79" s="34" t="s">
        <v>78</v>
      </c>
      <c r="P79" s="29" t="s">
        <v>78</v>
      </c>
      <c r="Q79" s="29" t="s">
        <v>78</v>
      </c>
      <c r="R79" s="35"/>
      <c r="S79" s="29" t="s">
        <v>78</v>
      </c>
      <c r="T79" s="36" t="s">
        <v>78</v>
      </c>
    </row>
    <row r="80" spans="2:20" ht="63" thickBot="1">
      <c r="B80" s="37">
        <v>76</v>
      </c>
      <c r="C80" s="38" t="s">
        <v>1447</v>
      </c>
      <c r="D80" s="39" t="s">
        <v>30</v>
      </c>
      <c r="E80" s="40" t="s">
        <v>1199</v>
      </c>
      <c r="F80" s="51" t="s">
        <v>1059</v>
      </c>
      <c r="G80" s="38" t="s">
        <v>1258</v>
      </c>
      <c r="H80" s="38" t="s">
        <v>1322</v>
      </c>
      <c r="I80" s="47">
        <v>286837</v>
      </c>
      <c r="J80" s="38" t="s">
        <v>1448</v>
      </c>
      <c r="K80" s="38" t="s">
        <v>1448</v>
      </c>
      <c r="L80" s="48">
        <v>683.69</v>
      </c>
      <c r="M80" s="38" t="s">
        <v>1355</v>
      </c>
      <c r="N80" s="38" t="s">
        <v>78</v>
      </c>
      <c r="O80" s="43" t="s">
        <v>78</v>
      </c>
      <c r="P80" s="38" t="s">
        <v>78</v>
      </c>
      <c r="Q80" s="38" t="s">
        <v>78</v>
      </c>
      <c r="R80" s="42"/>
      <c r="S80" s="38" t="s">
        <v>78</v>
      </c>
      <c r="T80" s="44" t="s">
        <v>78</v>
      </c>
    </row>
    <row r="81" spans="2:20" ht="38" thickBot="1">
      <c r="B81" s="28">
        <v>77</v>
      </c>
      <c r="C81" s="29" t="s">
        <v>1449</v>
      </c>
      <c r="D81" s="30" t="s">
        <v>30</v>
      </c>
      <c r="E81" s="31" t="s">
        <v>1199</v>
      </c>
      <c r="F81" s="32" t="s">
        <v>1059</v>
      </c>
      <c r="G81" s="29" t="s">
        <v>1258</v>
      </c>
      <c r="H81" s="29" t="s">
        <v>1259</v>
      </c>
      <c r="I81" s="33">
        <v>8255</v>
      </c>
      <c r="J81" s="33">
        <v>700167</v>
      </c>
      <c r="K81" s="29" t="s">
        <v>1450</v>
      </c>
      <c r="L81" s="46">
        <v>4.0999999999999996</v>
      </c>
      <c r="M81" s="29" t="s">
        <v>1288</v>
      </c>
      <c r="N81" s="29" t="s">
        <v>78</v>
      </c>
      <c r="O81" s="34" t="s">
        <v>78</v>
      </c>
      <c r="P81" s="29" t="s">
        <v>78</v>
      </c>
      <c r="Q81" s="29" t="s">
        <v>78</v>
      </c>
      <c r="R81" s="35"/>
      <c r="S81" s="29" t="s">
        <v>78</v>
      </c>
      <c r="T81" s="36" t="s">
        <v>78</v>
      </c>
    </row>
    <row r="82" spans="2:20" ht="38" thickBot="1">
      <c r="B82" s="37">
        <v>78</v>
      </c>
      <c r="C82" s="38" t="s">
        <v>1451</v>
      </c>
      <c r="D82" s="39" t="s">
        <v>30</v>
      </c>
      <c r="E82" s="40" t="s">
        <v>1199</v>
      </c>
      <c r="F82" s="51" t="s">
        <v>1059</v>
      </c>
      <c r="G82" s="38" t="s">
        <v>1258</v>
      </c>
      <c r="H82" s="38" t="s">
        <v>1259</v>
      </c>
      <c r="I82" s="47">
        <v>40</v>
      </c>
      <c r="J82" s="47">
        <v>192250</v>
      </c>
      <c r="K82" s="38" t="s">
        <v>1452</v>
      </c>
      <c r="L82" s="48">
        <v>102.97</v>
      </c>
      <c r="M82" s="38" t="s">
        <v>1288</v>
      </c>
      <c r="N82" s="38" t="s">
        <v>78</v>
      </c>
      <c r="O82" s="43" t="s">
        <v>78</v>
      </c>
      <c r="P82" s="38" t="s">
        <v>78</v>
      </c>
      <c r="Q82" s="38" t="s">
        <v>78</v>
      </c>
      <c r="R82" s="42"/>
      <c r="S82" s="38" t="s">
        <v>78</v>
      </c>
      <c r="T82" s="44" t="s">
        <v>78</v>
      </c>
    </row>
    <row r="83" spans="2:20" ht="63" thickBot="1">
      <c r="B83" s="28">
        <v>79</v>
      </c>
      <c r="C83" s="29" t="s">
        <v>1453</v>
      </c>
      <c r="D83" s="30" t="s">
        <v>30</v>
      </c>
      <c r="E83" s="31" t="s">
        <v>1199</v>
      </c>
      <c r="F83" s="32" t="s">
        <v>1059</v>
      </c>
      <c r="G83" s="29" t="s">
        <v>1258</v>
      </c>
      <c r="H83" s="29" t="s">
        <v>1322</v>
      </c>
      <c r="I83" s="33">
        <v>25799</v>
      </c>
      <c r="J83" s="29" t="s">
        <v>1454</v>
      </c>
      <c r="K83" s="29" t="s">
        <v>1455</v>
      </c>
      <c r="L83" s="46">
        <v>601.70000000000005</v>
      </c>
      <c r="M83" s="29" t="s">
        <v>1355</v>
      </c>
      <c r="N83" s="29" t="s">
        <v>78</v>
      </c>
      <c r="O83" s="34" t="s">
        <v>78</v>
      </c>
      <c r="P83" s="29" t="s">
        <v>78</v>
      </c>
      <c r="Q83" s="29" t="s">
        <v>78</v>
      </c>
      <c r="R83" s="35"/>
      <c r="S83" s="29" t="s">
        <v>78</v>
      </c>
      <c r="T83" s="36" t="s">
        <v>78</v>
      </c>
    </row>
    <row r="84" spans="2:20" ht="63" thickBot="1">
      <c r="B84" s="37">
        <v>80</v>
      </c>
      <c r="C84" s="38" t="s">
        <v>1456</v>
      </c>
      <c r="D84" s="39" t="s">
        <v>30</v>
      </c>
      <c r="E84" s="40" t="s">
        <v>1199</v>
      </c>
      <c r="F84" s="51" t="s">
        <v>1059</v>
      </c>
      <c r="G84" s="38" t="s">
        <v>1258</v>
      </c>
      <c r="H84" s="38" t="s">
        <v>1322</v>
      </c>
      <c r="I84" s="47">
        <v>1598</v>
      </c>
      <c r="J84" s="38" t="s">
        <v>1457</v>
      </c>
      <c r="K84" s="38" t="s">
        <v>1458</v>
      </c>
      <c r="L84" s="48">
        <v>686.76</v>
      </c>
      <c r="M84" s="38" t="s">
        <v>1355</v>
      </c>
      <c r="N84" s="38" t="s">
        <v>78</v>
      </c>
      <c r="O84" s="43" t="s">
        <v>78</v>
      </c>
      <c r="P84" s="42"/>
      <c r="Q84" s="38" t="s">
        <v>78</v>
      </c>
      <c r="R84" s="42"/>
      <c r="S84" s="38" t="s">
        <v>78</v>
      </c>
      <c r="T84" s="44" t="s">
        <v>78</v>
      </c>
    </row>
    <row r="85" spans="2:20" ht="75.5" thickBot="1">
      <c r="B85" s="28">
        <v>81</v>
      </c>
      <c r="C85" s="29" t="s">
        <v>1459</v>
      </c>
      <c r="D85" s="30" t="s">
        <v>30</v>
      </c>
      <c r="E85" s="31" t="s">
        <v>1199</v>
      </c>
      <c r="F85" s="32" t="s">
        <v>1059</v>
      </c>
      <c r="G85" s="29" t="s">
        <v>1258</v>
      </c>
      <c r="H85" s="29" t="s">
        <v>1322</v>
      </c>
      <c r="I85" s="33">
        <v>2271</v>
      </c>
      <c r="J85" s="29" t="s">
        <v>1460</v>
      </c>
      <c r="K85" s="29" t="s">
        <v>1461</v>
      </c>
      <c r="L85" s="46">
        <v>91.76</v>
      </c>
      <c r="M85" s="29" t="s">
        <v>1355</v>
      </c>
      <c r="N85" s="29" t="s">
        <v>78</v>
      </c>
      <c r="O85" s="34" t="s">
        <v>78</v>
      </c>
      <c r="P85" s="29" t="s">
        <v>78</v>
      </c>
      <c r="Q85" s="29" t="s">
        <v>78</v>
      </c>
      <c r="R85" s="35"/>
      <c r="S85" s="29" t="s">
        <v>78</v>
      </c>
      <c r="T85" s="36" t="s">
        <v>78</v>
      </c>
    </row>
    <row r="86" spans="2:20" ht="38" thickBot="1">
      <c r="B86" s="37">
        <v>82</v>
      </c>
      <c r="C86" s="38" t="s">
        <v>1462</v>
      </c>
      <c r="D86" s="39" t="s">
        <v>30</v>
      </c>
      <c r="E86" s="40" t="s">
        <v>1199</v>
      </c>
      <c r="F86" s="51" t="s">
        <v>1059</v>
      </c>
      <c r="G86" s="38" t="s">
        <v>1200</v>
      </c>
      <c r="H86" s="38" t="s">
        <v>1201</v>
      </c>
      <c r="I86" s="47">
        <v>80451</v>
      </c>
      <c r="J86" s="42"/>
      <c r="K86" s="38" t="s">
        <v>1463</v>
      </c>
      <c r="L86" s="48">
        <v>160.19</v>
      </c>
      <c r="M86" s="38" t="s">
        <v>1464</v>
      </c>
      <c r="N86" s="38" t="s">
        <v>78</v>
      </c>
      <c r="O86" s="43" t="s">
        <v>78</v>
      </c>
      <c r="P86" s="42"/>
      <c r="Q86" s="38" t="s">
        <v>78</v>
      </c>
      <c r="R86" s="42"/>
      <c r="S86" s="38" t="s">
        <v>78</v>
      </c>
      <c r="T86" s="44" t="s">
        <v>78</v>
      </c>
    </row>
    <row r="87" spans="2:20" ht="75.5" thickBot="1">
      <c r="B87" s="28">
        <v>83</v>
      </c>
      <c r="C87" s="29" t="s">
        <v>1465</v>
      </c>
      <c r="D87" s="30" t="s">
        <v>30</v>
      </c>
      <c r="E87" s="31" t="s">
        <v>1199</v>
      </c>
      <c r="F87" s="32" t="s">
        <v>1059</v>
      </c>
      <c r="G87" s="29" t="s">
        <v>1258</v>
      </c>
      <c r="H87" s="29" t="s">
        <v>1322</v>
      </c>
      <c r="I87" s="33">
        <v>1785</v>
      </c>
      <c r="J87" s="29" t="s">
        <v>1466</v>
      </c>
      <c r="K87" s="29" t="s">
        <v>1467</v>
      </c>
      <c r="L87" s="46">
        <v>99.64</v>
      </c>
      <c r="M87" s="29" t="s">
        <v>1355</v>
      </c>
      <c r="N87" s="29" t="s">
        <v>78</v>
      </c>
      <c r="O87" s="34" t="s">
        <v>78</v>
      </c>
      <c r="P87" s="29" t="s">
        <v>78</v>
      </c>
      <c r="Q87" s="29" t="s">
        <v>78</v>
      </c>
      <c r="R87" s="35"/>
      <c r="S87" s="29" t="s">
        <v>78</v>
      </c>
      <c r="T87" s="36" t="s">
        <v>78</v>
      </c>
    </row>
    <row r="88" spans="2:20" ht="38" thickBot="1">
      <c r="B88" s="37">
        <v>84</v>
      </c>
      <c r="C88" s="38" t="s">
        <v>1468</v>
      </c>
      <c r="D88" s="39" t="s">
        <v>30</v>
      </c>
      <c r="E88" s="40" t="s">
        <v>1199</v>
      </c>
      <c r="F88" s="51" t="s">
        <v>1059</v>
      </c>
      <c r="G88" s="38" t="s">
        <v>1258</v>
      </c>
      <c r="H88" s="38" t="s">
        <v>1322</v>
      </c>
      <c r="I88" s="47">
        <v>19271</v>
      </c>
      <c r="J88" s="38" t="s">
        <v>1469</v>
      </c>
      <c r="K88" s="38" t="s">
        <v>1470</v>
      </c>
      <c r="L88" s="48">
        <v>735.38</v>
      </c>
      <c r="M88" s="38" t="s">
        <v>1288</v>
      </c>
      <c r="N88" s="38" t="s">
        <v>78</v>
      </c>
      <c r="O88" s="43" t="s">
        <v>78</v>
      </c>
      <c r="P88" s="38" t="s">
        <v>78</v>
      </c>
      <c r="Q88" s="38" t="s">
        <v>78</v>
      </c>
      <c r="R88" s="42"/>
      <c r="S88" s="38" t="s">
        <v>78</v>
      </c>
      <c r="T88" s="44" t="s">
        <v>78</v>
      </c>
    </row>
    <row r="89" spans="2:20" ht="88" thickBot="1">
      <c r="B89" s="28">
        <v>85</v>
      </c>
      <c r="C89" s="29" t="s">
        <v>1471</v>
      </c>
      <c r="D89" s="30" t="s">
        <v>30</v>
      </c>
      <c r="E89" s="31" t="s">
        <v>1199</v>
      </c>
      <c r="F89" s="32" t="s">
        <v>1059</v>
      </c>
      <c r="G89" s="29" t="s">
        <v>1258</v>
      </c>
      <c r="H89" s="29" t="s">
        <v>1322</v>
      </c>
      <c r="I89" s="33">
        <v>1287</v>
      </c>
      <c r="J89" s="29" t="s">
        <v>1472</v>
      </c>
      <c r="K89" s="29" t="s">
        <v>1473</v>
      </c>
      <c r="L89" s="46">
        <v>103.03</v>
      </c>
      <c r="M89" s="29" t="s">
        <v>1355</v>
      </c>
      <c r="N89" s="29" t="s">
        <v>78</v>
      </c>
      <c r="O89" s="34" t="s">
        <v>78</v>
      </c>
      <c r="P89" s="35"/>
      <c r="Q89" s="29" t="s">
        <v>78</v>
      </c>
      <c r="R89" s="35"/>
      <c r="S89" s="29" t="s">
        <v>78</v>
      </c>
      <c r="T89" s="36" t="s">
        <v>78</v>
      </c>
    </row>
    <row r="90" spans="2:20" ht="50.5" thickBot="1">
      <c r="B90" s="37">
        <v>86</v>
      </c>
      <c r="C90" s="38" t="s">
        <v>1474</v>
      </c>
      <c r="D90" s="39" t="s">
        <v>30</v>
      </c>
      <c r="E90" s="40" t="s">
        <v>1199</v>
      </c>
      <c r="F90" s="51" t="s">
        <v>1059</v>
      </c>
      <c r="G90" s="38" t="s">
        <v>1258</v>
      </c>
      <c r="H90" s="38" t="s">
        <v>1259</v>
      </c>
      <c r="I90" s="47">
        <v>45104</v>
      </c>
      <c r="J90" s="38" t="s">
        <v>1475</v>
      </c>
      <c r="K90" s="38" t="s">
        <v>1475</v>
      </c>
      <c r="L90" s="48">
        <v>182.87</v>
      </c>
      <c r="M90" s="38" t="s">
        <v>1355</v>
      </c>
      <c r="N90" s="38" t="s">
        <v>78</v>
      </c>
      <c r="O90" s="43" t="s">
        <v>78</v>
      </c>
      <c r="P90" s="38" t="s">
        <v>78</v>
      </c>
      <c r="Q90" s="38" t="s">
        <v>78</v>
      </c>
      <c r="R90" s="42"/>
      <c r="S90" s="38" t="s">
        <v>78</v>
      </c>
      <c r="T90" s="44" t="s">
        <v>78</v>
      </c>
    </row>
    <row r="91" spans="2:20" ht="50.5" thickBot="1">
      <c r="B91" s="28">
        <v>87</v>
      </c>
      <c r="C91" s="29" t="s">
        <v>1476</v>
      </c>
      <c r="D91" s="30" t="s">
        <v>30</v>
      </c>
      <c r="E91" s="31" t="s">
        <v>1199</v>
      </c>
      <c r="F91" s="32" t="s">
        <v>1059</v>
      </c>
      <c r="G91" s="29" t="s">
        <v>1207</v>
      </c>
      <c r="H91" s="29" t="s">
        <v>1222</v>
      </c>
      <c r="I91" s="33">
        <v>3670</v>
      </c>
      <c r="J91" s="29" t="s">
        <v>1477</v>
      </c>
      <c r="K91" s="29" t="s">
        <v>1478</v>
      </c>
      <c r="L91" s="46">
        <v>119.36</v>
      </c>
      <c r="M91" s="29" t="s">
        <v>1288</v>
      </c>
      <c r="N91" s="29" t="s">
        <v>78</v>
      </c>
      <c r="O91" s="34" t="s">
        <v>78</v>
      </c>
      <c r="P91" s="29" t="s">
        <v>78</v>
      </c>
      <c r="Q91" s="29" t="s">
        <v>78</v>
      </c>
      <c r="R91" s="35"/>
      <c r="S91" s="29" t="s">
        <v>78</v>
      </c>
      <c r="T91" s="36" t="s">
        <v>78</v>
      </c>
    </row>
    <row r="92" spans="2:20" ht="50.5" thickBot="1">
      <c r="B92" s="37">
        <v>88</v>
      </c>
      <c r="C92" s="38" t="s">
        <v>1479</v>
      </c>
      <c r="D92" s="39" t="s">
        <v>30</v>
      </c>
      <c r="E92" s="40" t="s">
        <v>1199</v>
      </c>
      <c r="F92" s="51" t="s">
        <v>1059</v>
      </c>
      <c r="G92" s="38" t="s">
        <v>1258</v>
      </c>
      <c r="H92" s="38" t="s">
        <v>1322</v>
      </c>
      <c r="I92" s="47">
        <v>5947</v>
      </c>
      <c r="J92" s="38" t="s">
        <v>1480</v>
      </c>
      <c r="K92" s="38" t="s">
        <v>1480</v>
      </c>
      <c r="L92" s="48">
        <v>94.98</v>
      </c>
      <c r="M92" s="38" t="s">
        <v>1355</v>
      </c>
      <c r="N92" s="38" t="s">
        <v>78</v>
      </c>
      <c r="O92" s="43" t="s">
        <v>78</v>
      </c>
      <c r="P92" s="42"/>
      <c r="Q92" s="38" t="s">
        <v>78</v>
      </c>
      <c r="R92" s="42"/>
      <c r="S92" s="38" t="s">
        <v>78</v>
      </c>
      <c r="T92" s="44" t="s">
        <v>78</v>
      </c>
    </row>
    <row r="93" spans="2:20" ht="50.5" thickBot="1">
      <c r="B93" s="28">
        <v>89</v>
      </c>
      <c r="C93" s="29" t="s">
        <v>1481</v>
      </c>
      <c r="D93" s="30" t="s">
        <v>30</v>
      </c>
      <c r="E93" s="31" t="s">
        <v>1199</v>
      </c>
      <c r="F93" s="32" t="s">
        <v>1059</v>
      </c>
      <c r="G93" s="29" t="s">
        <v>1258</v>
      </c>
      <c r="H93" s="29" t="s">
        <v>1259</v>
      </c>
      <c r="I93" s="33">
        <v>89521</v>
      </c>
      <c r="J93" s="29" t="s">
        <v>1482</v>
      </c>
      <c r="K93" s="29" t="s">
        <v>1482</v>
      </c>
      <c r="L93" s="46">
        <v>417.4</v>
      </c>
      <c r="M93" s="29" t="s">
        <v>1355</v>
      </c>
      <c r="N93" s="29" t="s">
        <v>78</v>
      </c>
      <c r="O93" s="34" t="s">
        <v>78</v>
      </c>
      <c r="P93" s="29" t="s">
        <v>78</v>
      </c>
      <c r="Q93" s="29" t="s">
        <v>78</v>
      </c>
      <c r="R93" s="35"/>
      <c r="S93" s="29" t="s">
        <v>78</v>
      </c>
      <c r="T93" s="36" t="s">
        <v>78</v>
      </c>
    </row>
    <row r="94" spans="2:20" ht="38" thickBot="1">
      <c r="B94" s="37">
        <v>90</v>
      </c>
      <c r="C94" s="38" t="s">
        <v>1483</v>
      </c>
      <c r="D94" s="39" t="s">
        <v>30</v>
      </c>
      <c r="E94" s="40" t="s">
        <v>1199</v>
      </c>
      <c r="F94" s="51" t="s">
        <v>1059</v>
      </c>
      <c r="G94" s="38" t="s">
        <v>1258</v>
      </c>
      <c r="H94" s="38" t="s">
        <v>1259</v>
      </c>
      <c r="I94" s="47">
        <v>46</v>
      </c>
      <c r="J94" s="47">
        <v>213998</v>
      </c>
      <c r="K94" s="38" t="s">
        <v>1484</v>
      </c>
      <c r="L94" s="48">
        <v>141.37</v>
      </c>
      <c r="M94" s="38" t="s">
        <v>1288</v>
      </c>
      <c r="N94" s="38" t="s">
        <v>78</v>
      </c>
      <c r="O94" s="43" t="s">
        <v>78</v>
      </c>
      <c r="P94" s="38" t="s">
        <v>78</v>
      </c>
      <c r="Q94" s="38" t="s">
        <v>78</v>
      </c>
      <c r="R94" s="42"/>
      <c r="S94" s="38" t="s">
        <v>78</v>
      </c>
      <c r="T94" s="44" t="s">
        <v>78</v>
      </c>
    </row>
    <row r="95" spans="2:20" ht="50.5" thickBot="1">
      <c r="B95" s="28">
        <v>91</v>
      </c>
      <c r="C95" s="29" t="s">
        <v>1485</v>
      </c>
      <c r="D95" s="30" t="s">
        <v>30</v>
      </c>
      <c r="E95" s="49" t="s">
        <v>1261</v>
      </c>
      <c r="F95" s="45" t="s">
        <v>1206</v>
      </c>
      <c r="G95" s="29" t="s">
        <v>1274</v>
      </c>
      <c r="H95" s="29" t="s">
        <v>1486</v>
      </c>
      <c r="I95" s="29" t="s">
        <v>1487</v>
      </c>
      <c r="J95" s="35"/>
      <c r="K95" s="29" t="s">
        <v>1487</v>
      </c>
      <c r="L95" s="33">
        <v>1</v>
      </c>
      <c r="M95" s="29" t="s">
        <v>1270</v>
      </c>
      <c r="N95" s="29" t="s">
        <v>78</v>
      </c>
      <c r="O95" s="34" t="s">
        <v>78</v>
      </c>
      <c r="P95" s="35"/>
      <c r="Q95" s="29" t="s">
        <v>78</v>
      </c>
      <c r="R95" s="29" t="s">
        <v>78</v>
      </c>
      <c r="S95" s="29" t="s">
        <v>78</v>
      </c>
      <c r="T95" s="36" t="s">
        <v>78</v>
      </c>
    </row>
    <row r="96" spans="2:20" ht="63" thickBot="1">
      <c r="B96" s="37">
        <v>92</v>
      </c>
      <c r="C96" s="38" t="s">
        <v>1488</v>
      </c>
      <c r="D96" s="39" t="s">
        <v>30</v>
      </c>
      <c r="E96" s="40" t="s">
        <v>1199</v>
      </c>
      <c r="F96" s="51" t="s">
        <v>1059</v>
      </c>
      <c r="G96" s="38" t="s">
        <v>1258</v>
      </c>
      <c r="H96" s="38" t="s">
        <v>1322</v>
      </c>
      <c r="I96" s="47">
        <v>918</v>
      </c>
      <c r="J96" s="38" t="s">
        <v>1489</v>
      </c>
      <c r="K96" s="38" t="s">
        <v>1489</v>
      </c>
      <c r="L96" s="48">
        <v>112.57</v>
      </c>
      <c r="M96" s="38" t="s">
        <v>1355</v>
      </c>
      <c r="N96" s="38" t="s">
        <v>78</v>
      </c>
      <c r="O96" s="43" t="s">
        <v>78</v>
      </c>
      <c r="P96" s="38" t="s">
        <v>78</v>
      </c>
      <c r="Q96" s="38" t="s">
        <v>78</v>
      </c>
      <c r="R96" s="42"/>
      <c r="S96" s="38" t="s">
        <v>78</v>
      </c>
      <c r="T96" s="44" t="s">
        <v>78</v>
      </c>
    </row>
    <row r="97" spans="2:20" ht="50.5" thickBot="1">
      <c r="B97" s="28">
        <v>93</v>
      </c>
      <c r="C97" s="29" t="s">
        <v>1490</v>
      </c>
      <c r="D97" s="30" t="s">
        <v>30</v>
      </c>
      <c r="E97" s="31" t="s">
        <v>1199</v>
      </c>
      <c r="F97" s="32" t="s">
        <v>1059</v>
      </c>
      <c r="G97" s="29" t="s">
        <v>1207</v>
      </c>
      <c r="H97" s="29" t="s">
        <v>1232</v>
      </c>
      <c r="I97" s="33">
        <v>0</v>
      </c>
      <c r="J97" s="33">
        <v>0</v>
      </c>
      <c r="K97" s="29" t="s">
        <v>1491</v>
      </c>
      <c r="L97" s="46">
        <v>5.54</v>
      </c>
      <c r="M97" s="29" t="s">
        <v>1288</v>
      </c>
      <c r="N97" s="29" t="s">
        <v>78</v>
      </c>
      <c r="O97" s="34" t="s">
        <v>78</v>
      </c>
      <c r="P97" s="29" t="s">
        <v>78</v>
      </c>
      <c r="Q97" s="29" t="s">
        <v>78</v>
      </c>
      <c r="R97" s="35"/>
      <c r="S97" s="29" t="s">
        <v>78</v>
      </c>
      <c r="T97" s="36" t="s">
        <v>78</v>
      </c>
    </row>
    <row r="98" spans="2:20" ht="63" thickBot="1">
      <c r="B98" s="37">
        <v>94</v>
      </c>
      <c r="C98" s="38" t="s">
        <v>1492</v>
      </c>
      <c r="D98" s="39" t="s">
        <v>30</v>
      </c>
      <c r="E98" s="40" t="s">
        <v>1199</v>
      </c>
      <c r="F98" s="51" t="s">
        <v>1059</v>
      </c>
      <c r="G98" s="38" t="s">
        <v>1258</v>
      </c>
      <c r="H98" s="38" t="s">
        <v>1322</v>
      </c>
      <c r="I98" s="47">
        <v>1257</v>
      </c>
      <c r="J98" s="38" t="s">
        <v>1493</v>
      </c>
      <c r="K98" s="38" t="s">
        <v>1494</v>
      </c>
      <c r="L98" s="48">
        <v>105.07</v>
      </c>
      <c r="M98" s="38" t="s">
        <v>1355</v>
      </c>
      <c r="N98" s="38" t="s">
        <v>78</v>
      </c>
      <c r="O98" s="43" t="s">
        <v>78</v>
      </c>
      <c r="P98" s="38" t="s">
        <v>78</v>
      </c>
      <c r="Q98" s="38" t="s">
        <v>78</v>
      </c>
      <c r="R98" s="42"/>
      <c r="S98" s="38" t="s">
        <v>78</v>
      </c>
      <c r="T98" s="44" t="s">
        <v>78</v>
      </c>
    </row>
    <row r="99" spans="2:20" ht="88" thickBot="1">
      <c r="B99" s="28">
        <v>95</v>
      </c>
      <c r="C99" s="29" t="s">
        <v>1495</v>
      </c>
      <c r="D99" s="30" t="s">
        <v>30</v>
      </c>
      <c r="E99" s="31" t="s">
        <v>1199</v>
      </c>
      <c r="F99" s="32" t="s">
        <v>1059</v>
      </c>
      <c r="G99" s="29" t="s">
        <v>1258</v>
      </c>
      <c r="H99" s="29" t="s">
        <v>1322</v>
      </c>
      <c r="I99" s="33">
        <v>1054</v>
      </c>
      <c r="J99" s="29" t="s">
        <v>1496</v>
      </c>
      <c r="K99" s="29" t="s">
        <v>1497</v>
      </c>
      <c r="L99" s="46">
        <v>149.87</v>
      </c>
      <c r="M99" s="29" t="s">
        <v>1355</v>
      </c>
      <c r="N99" s="29" t="s">
        <v>78</v>
      </c>
      <c r="O99" s="34" t="s">
        <v>78</v>
      </c>
      <c r="P99" s="29" t="s">
        <v>78</v>
      </c>
      <c r="Q99" s="29" t="s">
        <v>78</v>
      </c>
      <c r="R99" s="35"/>
      <c r="S99" s="29" t="s">
        <v>78</v>
      </c>
      <c r="T99" s="36" t="s">
        <v>78</v>
      </c>
    </row>
    <row r="100" spans="2:20" ht="63" thickBot="1">
      <c r="B100" s="37">
        <v>96</v>
      </c>
      <c r="C100" s="38" t="s">
        <v>1498</v>
      </c>
      <c r="D100" s="39" t="s">
        <v>30</v>
      </c>
      <c r="E100" s="40" t="s">
        <v>1199</v>
      </c>
      <c r="F100" s="51" t="s">
        <v>1059</v>
      </c>
      <c r="G100" s="38" t="s">
        <v>1207</v>
      </c>
      <c r="H100" s="38" t="s">
        <v>1232</v>
      </c>
      <c r="I100" s="47">
        <v>0</v>
      </c>
      <c r="J100" s="47">
        <v>105</v>
      </c>
      <c r="K100" s="38" t="s">
        <v>1499</v>
      </c>
      <c r="L100" s="48">
        <v>148.36000000000001</v>
      </c>
      <c r="M100" s="38" t="s">
        <v>1288</v>
      </c>
      <c r="N100" s="38" t="s">
        <v>78</v>
      </c>
      <c r="O100" s="43" t="s">
        <v>78</v>
      </c>
      <c r="P100" s="38" t="s">
        <v>78</v>
      </c>
      <c r="Q100" s="38" t="s">
        <v>78</v>
      </c>
      <c r="R100" s="42"/>
      <c r="S100" s="38" t="s">
        <v>78</v>
      </c>
      <c r="T100" s="44" t="s">
        <v>78</v>
      </c>
    </row>
    <row r="101" spans="2:20" ht="38" thickBot="1">
      <c r="B101" s="28">
        <v>97</v>
      </c>
      <c r="C101" s="29" t="s">
        <v>1500</v>
      </c>
      <c r="D101" s="30" t="s">
        <v>30</v>
      </c>
      <c r="E101" s="31" t="s">
        <v>1199</v>
      </c>
      <c r="F101" s="32" t="s">
        <v>1059</v>
      </c>
      <c r="G101" s="29" t="s">
        <v>1258</v>
      </c>
      <c r="H101" s="29" t="s">
        <v>1259</v>
      </c>
      <c r="I101" s="33">
        <v>0</v>
      </c>
      <c r="J101" s="33">
        <v>281811</v>
      </c>
      <c r="K101" s="29" t="s">
        <v>1501</v>
      </c>
      <c r="L101" s="46">
        <v>329.47</v>
      </c>
      <c r="M101" s="29" t="s">
        <v>1288</v>
      </c>
      <c r="N101" s="29" t="s">
        <v>78</v>
      </c>
      <c r="O101" s="34" t="s">
        <v>78</v>
      </c>
      <c r="P101" s="29" t="s">
        <v>78</v>
      </c>
      <c r="Q101" s="29" t="s">
        <v>78</v>
      </c>
      <c r="R101" s="35"/>
      <c r="S101" s="29" t="s">
        <v>78</v>
      </c>
      <c r="T101" s="36" t="s">
        <v>78</v>
      </c>
    </row>
    <row r="102" spans="2:20" ht="38" thickBot="1">
      <c r="B102" s="37">
        <v>98</v>
      </c>
      <c r="C102" s="38" t="s">
        <v>1502</v>
      </c>
      <c r="D102" s="39" t="s">
        <v>30</v>
      </c>
      <c r="E102" s="57" t="s">
        <v>1261</v>
      </c>
      <c r="F102" s="51" t="s">
        <v>1059</v>
      </c>
      <c r="G102" s="38" t="s">
        <v>1231</v>
      </c>
      <c r="H102" s="38" t="s">
        <v>1301</v>
      </c>
      <c r="I102" s="38" t="s">
        <v>1503</v>
      </c>
      <c r="J102" s="38" t="s">
        <v>1504</v>
      </c>
      <c r="K102" s="38" t="s">
        <v>1504</v>
      </c>
      <c r="L102" s="48">
        <v>1.31</v>
      </c>
      <c r="M102" s="38" t="s">
        <v>1505</v>
      </c>
      <c r="N102" s="38" t="s">
        <v>78</v>
      </c>
      <c r="O102" s="43" t="s">
        <v>78</v>
      </c>
      <c r="P102" s="38" t="s">
        <v>78</v>
      </c>
      <c r="Q102" s="38" t="s">
        <v>78</v>
      </c>
      <c r="R102" s="42"/>
      <c r="S102" s="38" t="s">
        <v>78</v>
      </c>
      <c r="T102" s="44" t="s">
        <v>78</v>
      </c>
    </row>
    <row r="103" spans="2:20" ht="100.5" thickBot="1">
      <c r="B103" s="28">
        <v>99</v>
      </c>
      <c r="C103" s="29" t="s">
        <v>1506</v>
      </c>
      <c r="D103" s="30" t="s">
        <v>30</v>
      </c>
      <c r="E103" s="31" t="s">
        <v>1199</v>
      </c>
      <c r="F103" s="32" t="s">
        <v>1059</v>
      </c>
      <c r="G103" s="29" t="s">
        <v>1258</v>
      </c>
      <c r="H103" s="29" t="s">
        <v>1322</v>
      </c>
      <c r="I103" s="33">
        <v>1710</v>
      </c>
      <c r="J103" s="29" t="s">
        <v>1507</v>
      </c>
      <c r="K103" s="29" t="s">
        <v>1508</v>
      </c>
      <c r="L103" s="46">
        <v>75.66</v>
      </c>
      <c r="M103" s="29" t="s">
        <v>1355</v>
      </c>
      <c r="N103" s="29" t="s">
        <v>78</v>
      </c>
      <c r="O103" s="34" t="s">
        <v>78</v>
      </c>
      <c r="P103" s="29" t="s">
        <v>78</v>
      </c>
      <c r="Q103" s="29" t="s">
        <v>78</v>
      </c>
      <c r="R103" s="35"/>
      <c r="S103" s="29" t="s">
        <v>78</v>
      </c>
      <c r="T103" s="36" t="s">
        <v>78</v>
      </c>
    </row>
    <row r="104" spans="2:20" ht="63" thickBot="1">
      <c r="B104" s="37">
        <v>100</v>
      </c>
      <c r="C104" s="38" t="s">
        <v>1509</v>
      </c>
      <c r="D104" s="39" t="s">
        <v>30</v>
      </c>
      <c r="E104" s="40" t="s">
        <v>1199</v>
      </c>
      <c r="F104" s="51" t="s">
        <v>1059</v>
      </c>
      <c r="G104" s="38" t="s">
        <v>1258</v>
      </c>
      <c r="H104" s="38" t="s">
        <v>1322</v>
      </c>
      <c r="I104" s="47">
        <v>1068</v>
      </c>
      <c r="J104" s="38" t="s">
        <v>1510</v>
      </c>
      <c r="K104" s="38" t="s">
        <v>1511</v>
      </c>
      <c r="L104" s="48">
        <v>446.83</v>
      </c>
      <c r="M104" s="38" t="s">
        <v>1355</v>
      </c>
      <c r="N104" s="38" t="s">
        <v>78</v>
      </c>
      <c r="O104" s="43" t="s">
        <v>78</v>
      </c>
      <c r="P104" s="38" t="s">
        <v>78</v>
      </c>
      <c r="Q104" s="38" t="s">
        <v>78</v>
      </c>
      <c r="R104" s="42"/>
      <c r="S104" s="38" t="s">
        <v>78</v>
      </c>
      <c r="T104" s="44" t="s">
        <v>78</v>
      </c>
    </row>
    <row r="105" spans="2:20" ht="38" thickBot="1">
      <c r="B105" s="28">
        <v>101</v>
      </c>
      <c r="C105" s="29" t="s">
        <v>1512</v>
      </c>
      <c r="D105" s="30" t="s">
        <v>30</v>
      </c>
      <c r="E105" s="31" t="s">
        <v>1199</v>
      </c>
      <c r="F105" s="32" t="s">
        <v>1059</v>
      </c>
      <c r="G105" s="29" t="s">
        <v>1258</v>
      </c>
      <c r="H105" s="29" t="s">
        <v>1259</v>
      </c>
      <c r="I105" s="33">
        <v>0</v>
      </c>
      <c r="J105" s="29" t="s">
        <v>1513</v>
      </c>
      <c r="K105" s="29" t="s">
        <v>1514</v>
      </c>
      <c r="L105" s="46">
        <v>244.38</v>
      </c>
      <c r="M105" s="29" t="s">
        <v>1288</v>
      </c>
      <c r="N105" s="29" t="s">
        <v>78</v>
      </c>
      <c r="O105" s="34" t="s">
        <v>78</v>
      </c>
      <c r="P105" s="29" t="s">
        <v>78</v>
      </c>
      <c r="Q105" s="29" t="s">
        <v>78</v>
      </c>
      <c r="R105" s="35"/>
      <c r="S105" s="29" t="s">
        <v>78</v>
      </c>
      <c r="T105" s="36" t="s">
        <v>78</v>
      </c>
    </row>
    <row r="106" spans="2:20" ht="88" thickBot="1">
      <c r="B106" s="37">
        <v>102</v>
      </c>
      <c r="C106" s="38" t="s">
        <v>1515</v>
      </c>
      <c r="D106" s="39" t="s">
        <v>30</v>
      </c>
      <c r="E106" s="40" t="s">
        <v>1199</v>
      </c>
      <c r="F106" s="51" t="s">
        <v>1059</v>
      </c>
      <c r="G106" s="38" t="s">
        <v>1258</v>
      </c>
      <c r="H106" s="38" t="s">
        <v>1322</v>
      </c>
      <c r="I106" s="47">
        <v>1329</v>
      </c>
      <c r="J106" s="38" t="s">
        <v>1516</v>
      </c>
      <c r="K106" s="38" t="s">
        <v>1517</v>
      </c>
      <c r="L106" s="48">
        <v>61.58</v>
      </c>
      <c r="M106" s="38" t="s">
        <v>1355</v>
      </c>
      <c r="N106" s="38" t="s">
        <v>78</v>
      </c>
      <c r="O106" s="43" t="s">
        <v>78</v>
      </c>
      <c r="P106" s="38" t="s">
        <v>78</v>
      </c>
      <c r="Q106" s="38" t="s">
        <v>78</v>
      </c>
      <c r="R106" s="42"/>
      <c r="S106" s="38" t="s">
        <v>78</v>
      </c>
      <c r="T106" s="44" t="s">
        <v>78</v>
      </c>
    </row>
    <row r="107" spans="2:20" ht="50.5" thickBot="1">
      <c r="B107" s="28">
        <v>103</v>
      </c>
      <c r="C107" s="29" t="s">
        <v>1518</v>
      </c>
      <c r="D107" s="30" t="s">
        <v>30</v>
      </c>
      <c r="E107" s="31" t="s">
        <v>1199</v>
      </c>
      <c r="F107" s="32" t="s">
        <v>1059</v>
      </c>
      <c r="G107" s="29" t="s">
        <v>1258</v>
      </c>
      <c r="H107" s="29" t="s">
        <v>1259</v>
      </c>
      <c r="I107" s="33">
        <v>3407</v>
      </c>
      <c r="J107" s="29" t="s">
        <v>1519</v>
      </c>
      <c r="K107" s="29" t="s">
        <v>1520</v>
      </c>
      <c r="L107" s="46">
        <v>46.59</v>
      </c>
      <c r="M107" s="29" t="s">
        <v>1355</v>
      </c>
      <c r="N107" s="29" t="s">
        <v>78</v>
      </c>
      <c r="O107" s="34" t="s">
        <v>78</v>
      </c>
      <c r="P107" s="29" t="s">
        <v>78</v>
      </c>
      <c r="Q107" s="29" t="s">
        <v>78</v>
      </c>
      <c r="R107" s="35"/>
      <c r="S107" s="29" t="s">
        <v>78</v>
      </c>
      <c r="T107" s="36" t="s">
        <v>78</v>
      </c>
    </row>
    <row r="108" spans="2:20" ht="50.5" thickBot="1">
      <c r="B108" s="37">
        <v>104</v>
      </c>
      <c r="C108" s="38" t="s">
        <v>1521</v>
      </c>
      <c r="D108" s="39" t="s">
        <v>30</v>
      </c>
      <c r="E108" s="40" t="s">
        <v>1199</v>
      </c>
      <c r="F108" s="41" t="s">
        <v>1206</v>
      </c>
      <c r="G108" s="38" t="s">
        <v>1207</v>
      </c>
      <c r="H108" s="38" t="s">
        <v>1222</v>
      </c>
      <c r="I108" s="47">
        <v>522920</v>
      </c>
      <c r="J108" s="42"/>
      <c r="K108" s="38" t="s">
        <v>1522</v>
      </c>
      <c r="L108" s="48">
        <v>0.99</v>
      </c>
      <c r="M108" s="38" t="s">
        <v>1523</v>
      </c>
      <c r="N108" s="38" t="s">
        <v>78</v>
      </c>
      <c r="O108" s="43" t="s">
        <v>78</v>
      </c>
      <c r="P108" s="42"/>
      <c r="Q108" s="38" t="s">
        <v>78</v>
      </c>
      <c r="R108" s="38" t="s">
        <v>78</v>
      </c>
      <c r="S108" s="38" t="s">
        <v>78</v>
      </c>
      <c r="T108" s="44" t="s">
        <v>78</v>
      </c>
    </row>
    <row r="109" spans="2:20" ht="50.5" thickBot="1">
      <c r="B109" s="28">
        <v>105</v>
      </c>
      <c r="C109" s="29" t="s">
        <v>1524</v>
      </c>
      <c r="D109" s="30" t="s">
        <v>30</v>
      </c>
      <c r="E109" s="31" t="s">
        <v>1199</v>
      </c>
      <c r="F109" s="32" t="s">
        <v>1059</v>
      </c>
      <c r="G109" s="29" t="s">
        <v>1258</v>
      </c>
      <c r="H109" s="29" t="s">
        <v>1259</v>
      </c>
      <c r="I109" s="33">
        <v>3340</v>
      </c>
      <c r="J109" s="29" t="s">
        <v>1525</v>
      </c>
      <c r="K109" s="29" t="s">
        <v>1526</v>
      </c>
      <c r="L109" s="46">
        <v>206.77</v>
      </c>
      <c r="M109" s="29" t="s">
        <v>1355</v>
      </c>
      <c r="N109" s="29" t="s">
        <v>78</v>
      </c>
      <c r="O109" s="34" t="s">
        <v>78</v>
      </c>
      <c r="P109" s="29" t="s">
        <v>78</v>
      </c>
      <c r="Q109" s="29" t="s">
        <v>78</v>
      </c>
      <c r="R109" s="35"/>
      <c r="S109" s="29" t="s">
        <v>78</v>
      </c>
      <c r="T109" s="36" t="s">
        <v>78</v>
      </c>
    </row>
    <row r="110" spans="2:20" ht="38" thickBot="1">
      <c r="B110" s="37">
        <v>106</v>
      </c>
      <c r="C110" s="38" t="s">
        <v>1527</v>
      </c>
      <c r="D110" s="39" t="s">
        <v>30</v>
      </c>
      <c r="E110" s="40" t="s">
        <v>1199</v>
      </c>
      <c r="F110" s="51" t="s">
        <v>1059</v>
      </c>
      <c r="G110" s="38" t="s">
        <v>1258</v>
      </c>
      <c r="H110" s="38" t="s">
        <v>1259</v>
      </c>
      <c r="I110" s="47">
        <v>0</v>
      </c>
      <c r="J110" s="47">
        <v>15710</v>
      </c>
      <c r="K110" s="38" t="s">
        <v>1528</v>
      </c>
      <c r="L110" s="48">
        <v>182.81</v>
      </c>
      <c r="M110" s="38" t="s">
        <v>1288</v>
      </c>
      <c r="N110" s="38" t="s">
        <v>78</v>
      </c>
      <c r="O110" s="43" t="s">
        <v>78</v>
      </c>
      <c r="P110" s="38" t="s">
        <v>78</v>
      </c>
      <c r="Q110" s="38" t="s">
        <v>78</v>
      </c>
      <c r="R110" s="42"/>
      <c r="S110" s="38" t="s">
        <v>78</v>
      </c>
      <c r="T110" s="44" t="s">
        <v>78</v>
      </c>
    </row>
    <row r="111" spans="2:20" ht="63" thickBot="1">
      <c r="B111" s="28">
        <v>107</v>
      </c>
      <c r="C111" s="29" t="s">
        <v>1529</v>
      </c>
      <c r="D111" s="30" t="s">
        <v>30</v>
      </c>
      <c r="E111" s="31" t="s">
        <v>1199</v>
      </c>
      <c r="F111" s="45" t="s">
        <v>1206</v>
      </c>
      <c r="G111" s="29" t="s">
        <v>1231</v>
      </c>
      <c r="H111" s="29" t="s">
        <v>1279</v>
      </c>
      <c r="I111" s="33">
        <v>0</v>
      </c>
      <c r="J111" s="29" t="s">
        <v>1530</v>
      </c>
      <c r="K111" s="29" t="s">
        <v>1530</v>
      </c>
      <c r="L111" s="33">
        <v>1234</v>
      </c>
      <c r="M111" s="29" t="s">
        <v>1531</v>
      </c>
      <c r="N111" s="29" t="s">
        <v>78</v>
      </c>
      <c r="O111" s="50" t="s">
        <v>1265</v>
      </c>
      <c r="P111" s="35"/>
      <c r="Q111" s="35"/>
      <c r="R111" s="35"/>
      <c r="S111" s="29" t="s">
        <v>78</v>
      </c>
      <c r="T111" s="36" t="s">
        <v>78</v>
      </c>
    </row>
    <row r="112" spans="2:20" ht="63" thickBot="1">
      <c r="B112" s="37">
        <v>108</v>
      </c>
      <c r="C112" s="38" t="s">
        <v>1532</v>
      </c>
      <c r="D112" s="39" t="s">
        <v>30</v>
      </c>
      <c r="E112" s="40" t="s">
        <v>1199</v>
      </c>
      <c r="F112" s="51" t="s">
        <v>1059</v>
      </c>
      <c r="G112" s="38" t="s">
        <v>1258</v>
      </c>
      <c r="H112" s="38" t="s">
        <v>1259</v>
      </c>
      <c r="I112" s="47">
        <v>60435</v>
      </c>
      <c r="J112" s="38" t="s">
        <v>1533</v>
      </c>
      <c r="K112" s="38" t="s">
        <v>1533</v>
      </c>
      <c r="L112" s="48">
        <v>166.46</v>
      </c>
      <c r="M112" s="38" t="s">
        <v>1355</v>
      </c>
      <c r="N112" s="38" t="s">
        <v>78</v>
      </c>
      <c r="O112" s="43" t="s">
        <v>78</v>
      </c>
      <c r="P112" s="42"/>
      <c r="Q112" s="38" t="s">
        <v>78</v>
      </c>
      <c r="R112" s="38" t="s">
        <v>78</v>
      </c>
      <c r="S112" s="38" t="s">
        <v>78</v>
      </c>
      <c r="T112" s="44" t="s">
        <v>78</v>
      </c>
    </row>
    <row r="113" spans="2:20" ht="38" thickBot="1">
      <c r="B113" s="28">
        <v>109</v>
      </c>
      <c r="C113" s="29" t="s">
        <v>1534</v>
      </c>
      <c r="D113" s="30" t="s">
        <v>30</v>
      </c>
      <c r="E113" s="31" t="s">
        <v>1199</v>
      </c>
      <c r="F113" s="32" t="s">
        <v>1059</v>
      </c>
      <c r="G113" s="29" t="s">
        <v>1258</v>
      </c>
      <c r="H113" s="29" t="s">
        <v>1259</v>
      </c>
      <c r="I113" s="33">
        <v>0</v>
      </c>
      <c r="J113" s="33">
        <v>42256</v>
      </c>
      <c r="K113" s="29" t="s">
        <v>1535</v>
      </c>
      <c r="L113" s="46">
        <v>417.32</v>
      </c>
      <c r="M113" s="29" t="s">
        <v>1288</v>
      </c>
      <c r="N113" s="29" t="s">
        <v>78</v>
      </c>
      <c r="O113" s="34" t="s">
        <v>78</v>
      </c>
      <c r="P113" s="29" t="s">
        <v>78</v>
      </c>
      <c r="Q113" s="29" t="s">
        <v>78</v>
      </c>
      <c r="R113" s="35"/>
      <c r="S113" s="29" t="s">
        <v>78</v>
      </c>
      <c r="T113" s="36" t="s">
        <v>78</v>
      </c>
    </row>
    <row r="114" spans="2:20" ht="38" thickBot="1">
      <c r="B114" s="37">
        <v>110</v>
      </c>
      <c r="C114" s="38" t="s">
        <v>1536</v>
      </c>
      <c r="D114" s="39" t="s">
        <v>30</v>
      </c>
      <c r="E114" s="40" t="s">
        <v>1199</v>
      </c>
      <c r="F114" s="51" t="s">
        <v>1059</v>
      </c>
      <c r="G114" s="38" t="s">
        <v>1231</v>
      </c>
      <c r="H114" s="38" t="s">
        <v>1537</v>
      </c>
      <c r="I114" s="38" t="s">
        <v>1538</v>
      </c>
      <c r="J114" s="38" t="s">
        <v>1539</v>
      </c>
      <c r="K114" s="38" t="s">
        <v>1539</v>
      </c>
      <c r="L114" s="48">
        <v>1.05</v>
      </c>
      <c r="M114" s="38" t="s">
        <v>1540</v>
      </c>
      <c r="N114" s="38" t="s">
        <v>78</v>
      </c>
      <c r="O114" s="56" t="s">
        <v>1265</v>
      </c>
      <c r="P114" s="42"/>
      <c r="Q114" s="42"/>
      <c r="R114" s="42"/>
      <c r="S114" s="38" t="s">
        <v>78</v>
      </c>
      <c r="T114" s="44" t="s">
        <v>78</v>
      </c>
    </row>
    <row r="115" spans="2:20" ht="50.5" thickBot="1">
      <c r="B115" s="28">
        <v>111</v>
      </c>
      <c r="C115" s="29" t="s">
        <v>1541</v>
      </c>
      <c r="D115" s="30" t="s">
        <v>30</v>
      </c>
      <c r="E115" s="31" t="s">
        <v>1199</v>
      </c>
      <c r="F115" s="45" t="s">
        <v>1206</v>
      </c>
      <c r="G115" s="29" t="s">
        <v>1207</v>
      </c>
      <c r="H115" s="29" t="s">
        <v>1253</v>
      </c>
      <c r="I115" s="33">
        <v>0</v>
      </c>
      <c r="J115" s="35"/>
      <c r="K115" s="29" t="s">
        <v>1542</v>
      </c>
      <c r="L115" s="33">
        <v>1</v>
      </c>
      <c r="M115" s="29" t="s">
        <v>1543</v>
      </c>
      <c r="N115" s="29" t="s">
        <v>78</v>
      </c>
      <c r="O115" s="50" t="s">
        <v>1265</v>
      </c>
      <c r="P115" s="35"/>
      <c r="Q115" s="29" t="s">
        <v>78</v>
      </c>
      <c r="R115" s="29" t="s">
        <v>78</v>
      </c>
      <c r="S115" s="29" t="s">
        <v>78</v>
      </c>
      <c r="T115" s="36" t="s">
        <v>78</v>
      </c>
    </row>
    <row r="116" spans="2:20" ht="50.5" thickBot="1">
      <c r="B116" s="37">
        <v>112</v>
      </c>
      <c r="C116" s="38" t="s">
        <v>1544</v>
      </c>
      <c r="D116" s="39" t="s">
        <v>30</v>
      </c>
      <c r="E116" s="40" t="s">
        <v>1199</v>
      </c>
      <c r="F116" s="51" t="s">
        <v>1059</v>
      </c>
      <c r="G116" s="38" t="s">
        <v>1207</v>
      </c>
      <c r="H116" s="38" t="s">
        <v>1208</v>
      </c>
      <c r="I116" s="47">
        <v>0</v>
      </c>
      <c r="J116" s="42"/>
      <c r="K116" s="38" t="s">
        <v>1545</v>
      </c>
      <c r="L116" s="48">
        <v>107.16</v>
      </c>
      <c r="M116" s="38" t="s">
        <v>1546</v>
      </c>
      <c r="N116" s="38" t="s">
        <v>78</v>
      </c>
      <c r="O116" s="43" t="s">
        <v>78</v>
      </c>
      <c r="P116" s="42"/>
      <c r="Q116" s="42"/>
      <c r="R116" s="42"/>
      <c r="S116" s="38" t="s">
        <v>78</v>
      </c>
      <c r="T116" s="44" t="s">
        <v>78</v>
      </c>
    </row>
    <row r="117" spans="2:20" ht="50.5" thickBot="1">
      <c r="B117" s="58">
        <v>113</v>
      </c>
      <c r="C117" s="59" t="s">
        <v>1547</v>
      </c>
      <c r="D117" s="60" t="s">
        <v>30</v>
      </c>
      <c r="E117" s="61" t="s">
        <v>1199</v>
      </c>
      <c r="F117" s="62" t="s">
        <v>1059</v>
      </c>
      <c r="G117" s="59" t="s">
        <v>1207</v>
      </c>
      <c r="H117" s="59" t="s">
        <v>1253</v>
      </c>
      <c r="I117" s="63">
        <v>1387</v>
      </c>
      <c r="J117" s="59" t="s">
        <v>1548</v>
      </c>
      <c r="K117" s="59" t="s">
        <v>1548</v>
      </c>
      <c r="L117" s="64">
        <v>1.02</v>
      </c>
      <c r="M117" s="59" t="s">
        <v>1540</v>
      </c>
      <c r="N117" s="59" t="s">
        <v>78</v>
      </c>
      <c r="O117" s="65" t="s">
        <v>1265</v>
      </c>
      <c r="P117" s="66"/>
      <c r="Q117" s="66"/>
      <c r="R117" s="66"/>
      <c r="S117" s="59" t="s">
        <v>78</v>
      </c>
      <c r="T117" s="67" t="s">
        <v>78</v>
      </c>
    </row>
  </sheetData>
  <hyperlinks>
    <hyperlink ref="C3" r:id="rId1" xr:uid="{F40A8F6C-6F5A-4531-A838-E8F3226CCE5A}"/>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Final RWA Taxonomy</vt:lpstr>
      <vt:lpstr>Classification Work</vt:lpstr>
      <vt:lpstr>Sources</vt:lpstr>
      <vt:lpstr>DefiLlama Top 100 RWA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Giorgio Vella</dc:creator>
  <cp:lastModifiedBy>Giorgio Vella</cp:lastModifiedBy>
  <dcterms:created xsi:type="dcterms:W3CDTF">2026-05-12T12:50:47Z</dcterms:created>
  <dcterms:modified xsi:type="dcterms:W3CDTF">2026-05-28T14:11:21Z</dcterms:modified>
</cp:coreProperties>
</file>